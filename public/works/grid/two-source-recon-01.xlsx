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论" state="visible" r:id="rId4"/>
    <sheet sheetId="2" name="逐笔明细" state="visible" r:id="rId5"/>
    <sheet sheetId="3" name="口径说明" state="visible" r:id="rId6"/>
  </sheets>
  <calcPr calcId="171027"/>
</workbook>
</file>

<file path=xl/sharedStrings.xml><?xml version="1.0" encoding="utf-8"?>
<sst xmlns="http://schemas.openxmlformats.org/spreadsheetml/2006/main" count="187" uniqueCount="103">
  <si>
    <t>平台流水与银行入账逐笔对账（2026 年第 27 周）</t>
  </si>
  <si>
    <t>项目 / 单号</t>
  </si>
  <si>
    <t>平台流水（元）</t>
  </si>
  <si>
    <t>银行入账（元）</t>
  </si>
  <si>
    <t>差额（元）</t>
  </si>
  <si>
    <t>说明</t>
  </si>
  <si>
    <t>笔数</t>
  </si>
  <si>
    <t>银行侧少 1 笔，即下方跨账期未达的那一笔</t>
  </si>
  <si>
    <t>金额合计（元）</t>
  </si>
  <si>
    <t>取自明细页，不手工汇总</t>
  </si>
  <si>
    <t>对不平的笔数</t>
  </si>
  <si>
    <t/>
  </si>
  <si>
    <t>已平的 20 笔不在本页，去明细页看</t>
  </si>
  <si>
    <t>对不平的 4 笔逐笔如下</t>
  </si>
  <si>
    <t>平台流水</t>
  </si>
  <si>
    <t>银行入账</t>
  </si>
  <si>
    <t>差额</t>
  </si>
  <si>
    <t>原因（每一笔都要有）</t>
  </si>
  <si>
    <t>PF20260702-0318</t>
  </si>
  <si>
    <t>第三方支付通道手续费 12.60 元由银行侧净额入账，平台侧记全额</t>
  </si>
  <si>
    <t>PF20260703-0329</t>
  </si>
  <si>
    <t>平台 17:42 结算，超过银行当日截止时点，07-04 到账，跨账期未入本期</t>
  </si>
  <si>
    <t>PF20260704-0337</t>
  </si>
  <si>
    <t>客户部分退款 300.00 元，银行侧已扣减，平台侧退款单次日才生成</t>
  </si>
  <si>
    <t>PF20260706-0353</t>
  </si>
  <si>
    <t>银行侧重复入账 240.00 元（BK7060120 与 BK7060126 同额），待银行冲正</t>
  </si>
  <si>
    <t>差异归因合计（元）</t>
  </si>
  <si>
    <t>与上方「金额合计」的差额相等，即差异已全部归因，无兜底项</t>
  </si>
  <si>
    <t>平台单号</t>
  </si>
  <si>
    <t>平台结算日</t>
  </si>
  <si>
    <t>平台金额（元）</t>
  </si>
  <si>
    <t>银行金额（元）</t>
  </si>
  <si>
    <t>银行到账日</t>
  </si>
  <si>
    <t>银行流水号</t>
  </si>
  <si>
    <t>PF20260701-0311</t>
  </si>
  <si>
    <t>2026-07-01</t>
  </si>
  <si>
    <t>BK7010049</t>
  </si>
  <si>
    <t>PF20260701-0312</t>
  </si>
  <si>
    <t>BK7010050</t>
  </si>
  <si>
    <t>PF20260701-0313</t>
  </si>
  <si>
    <t>BK7010051</t>
  </si>
  <si>
    <t>2026-07-02</t>
  </si>
  <si>
    <t>BK7020063</t>
  </si>
  <si>
    <t>PF20260702-0319</t>
  </si>
  <si>
    <t>BK7020064</t>
  </si>
  <si>
    <t>PF20260702-0320</t>
  </si>
  <si>
    <t>BK7020065</t>
  </si>
  <si>
    <t>PF20260703-0327</t>
  </si>
  <si>
    <t>2026-07-03</t>
  </si>
  <si>
    <t>BK7030071</t>
  </si>
  <si>
    <t>PF20260703-0328</t>
  </si>
  <si>
    <t>BK7030072</t>
  </si>
  <si>
    <t>—</t>
  </si>
  <si>
    <t>PF20260704-0335</t>
  </si>
  <si>
    <t>2026-07-04</t>
  </si>
  <si>
    <t>BK7040088</t>
  </si>
  <si>
    <t>PF20260704-0336</t>
  </si>
  <si>
    <t>BK7040089</t>
  </si>
  <si>
    <t>BK7040090</t>
  </si>
  <si>
    <t>PF20260705-0341</t>
  </si>
  <si>
    <t>2026-07-05</t>
  </si>
  <si>
    <t>BK7050102</t>
  </si>
  <si>
    <t>PF20260705-0342</t>
  </si>
  <si>
    <t>BK7050103</t>
  </si>
  <si>
    <t>PF20260705-0343</t>
  </si>
  <si>
    <t>BK7050104</t>
  </si>
  <si>
    <t>PF20260706-0350</t>
  </si>
  <si>
    <t>2026-07-06</t>
  </si>
  <si>
    <t>BK7060117</t>
  </si>
  <si>
    <t>PF20260706-0351</t>
  </si>
  <si>
    <t>BK7060118</t>
  </si>
  <si>
    <t>PF20260706-0352</t>
  </si>
  <si>
    <t>BK7060119</t>
  </si>
  <si>
    <t>BK7060120</t>
  </si>
  <si>
    <t>PF20260707-0361</t>
  </si>
  <si>
    <t>2026-07-07</t>
  </si>
  <si>
    <t>BK7070131</t>
  </si>
  <si>
    <t>PF20260707-0362</t>
  </si>
  <si>
    <t>BK7070132</t>
  </si>
  <si>
    <t>PF20260707-0363</t>
  </si>
  <si>
    <t>BK7070133</t>
  </si>
  <si>
    <t>PF20260707-0364</t>
  </si>
  <si>
    <t>BK7070134</t>
  </si>
  <si>
    <t>PF20260707-0365</t>
  </si>
  <si>
    <t>BK7070135</t>
  </si>
  <si>
    <t>口径项</t>
  </si>
  <si>
    <t>约定</t>
  </si>
  <si>
    <t>账期</t>
  </si>
  <si>
    <t>2026-07-01 00:00 至 2026-07-07 23:59，按平台结算时点划分</t>
  </si>
  <si>
    <t>平台侧取数</t>
  </si>
  <si>
    <t>订单状态 = 已结算 的资金流水，含手续费前全额，不含未结算与已冻结</t>
  </si>
  <si>
    <t>银行侧取数</t>
  </si>
  <si>
    <t>对公结算户当期贷记发生额，剔除利息、退汇与行内调账</t>
  </si>
  <si>
    <t>净额与全额</t>
  </si>
  <si>
    <t>第三方通道按净额入账，平台按全额记账，差额即通道手续费，不作为差异处理</t>
  </si>
  <si>
    <t>跨账期</t>
  </si>
  <si>
    <t>平台结算晚于银行当日截止时点（17:00）的笔次，次日到账，本期列为未达账项</t>
  </si>
  <si>
    <t>退款</t>
  </si>
  <si>
    <t>以银行侧扣减时点为准；平台侧退款单晚于银行的，本期列差异，下期自动平</t>
  </si>
  <si>
    <t>重复入账</t>
  </si>
  <si>
    <t>银行侧同额重复的，本期全额列差异并挂账，冲正后下期核销</t>
  </si>
  <si>
    <t>容差</t>
  </si>
  <si>
    <t>无容差。任何非零差额都必须逐笔给出原因，不接受「四舍五入后一致」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</si>
</sst>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64646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2" xfId="0" applyNumberFormat="1" applyBorder="1"/>
    <xf numFmtId="0" fontId="0" fillId="3" borderId="2" xfId="0" applyFill="1" applyBorder="1"/>
    <xf numFmtId="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3" width="14" style="1" customWidth="1"/>
    <col min="4" max="4" width="12" style="1" customWidth="1"/>
    <col min="5" max="5" width="62" customWidth="1"/>
  </cols>
  <sheetData>
    <row r="1" ht="28" customHeight="1" spans="1:5" s="2" customFormat="1" x14ac:dyDescent="0.25">
      <c r="A1" s="2" t="s">
        <v>0</v>
      </c>
      <c r="B1" s="2"/>
      <c r="C1" s="2"/>
      <c r="D1" s="2"/>
      <c r="E1" s="2"/>
    </row>
    <row r="2" ht="24" customHeight="1" spans="1:5" x14ac:dyDescent="0.25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</row>
    <row r="3" spans="1:5" x14ac:dyDescent="0.25">
      <c r="A3" s="5" t="s">
        <v>6</v>
      </c>
      <c r="B3" s="6">
        <v>24</v>
      </c>
      <c r="C3" s="6">
        <v>23</v>
      </c>
      <c r="D3" s="6">
        <f>B3-C3</f>
        <v>1</v>
      </c>
      <c r="E3" s="5" t="s">
        <v>7</v>
      </c>
    </row>
    <row r="4" spans="1:5" x14ac:dyDescent="0.25">
      <c r="A4" s="7" t="s">
        <v>8</v>
      </c>
      <c r="B4" s="8">
        <f>SUM('逐笔明细'!C2:C25)</f>
        <v>569350.5</v>
      </c>
      <c r="C4" s="8">
        <f>SUM('逐笔明细'!E2:E25)</f>
        <v>540807.9</v>
      </c>
      <c r="D4" s="8">
        <f>B4-C4</f>
        <v>28542.6</v>
      </c>
      <c r="E4" s="7" t="s">
        <v>9</v>
      </c>
    </row>
    <row r="5" spans="1:5" x14ac:dyDescent="0.25">
      <c r="A5" s="5" t="s">
        <v>10</v>
      </c>
      <c r="B5" s="6">
        <v>4</v>
      </c>
      <c r="C5" s="6" t="s">
        <v>11</v>
      </c>
      <c r="D5" s="6" t="s">
        <v>11</v>
      </c>
      <c r="E5" s="5" t="s">
        <v>12</v>
      </c>
    </row>
    <row r="6" spans="1:5" x14ac:dyDescent="0.25">
      <c r="A6" s="7" t="s">
        <v>11</v>
      </c>
      <c r="B6" s="8" t="s">
        <v>11</v>
      </c>
      <c r="C6" s="8" t="s">
        <v>11</v>
      </c>
      <c r="D6" s="8" t="s">
        <v>11</v>
      </c>
      <c r="E6" s="7" t="s">
        <v>11</v>
      </c>
    </row>
    <row r="7" spans="1:5" x14ac:dyDescent="0.25">
      <c r="A7" s="5" t="s">
        <v>13</v>
      </c>
      <c r="B7" s="6" t="s">
        <v>14</v>
      </c>
      <c r="C7" s="6" t="s">
        <v>15</v>
      </c>
      <c r="D7" s="6" t="s">
        <v>16</v>
      </c>
      <c r="E7" s="5" t="s">
        <v>17</v>
      </c>
    </row>
    <row r="8" spans="1:5" x14ac:dyDescent="0.25">
      <c r="A8" s="7" t="s">
        <v>18</v>
      </c>
      <c r="B8" s="8">
        <v>7640</v>
      </c>
      <c r="C8" s="8">
        <v>7627.4</v>
      </c>
      <c r="D8" s="8">
        <f>B8-C8</f>
        <v>12.6</v>
      </c>
      <c r="E8" s="7" t="s">
        <v>19</v>
      </c>
    </row>
    <row r="9" spans="1:5" x14ac:dyDescent="0.25">
      <c r="A9" s="5" t="s">
        <v>20</v>
      </c>
      <c r="B9" s="6">
        <v>28470</v>
      </c>
      <c r="C9" s="6">
        <v>0</v>
      </c>
      <c r="D9" s="6">
        <f>B9-C9</f>
        <v>28470</v>
      </c>
      <c r="E9" s="5" t="s">
        <v>21</v>
      </c>
    </row>
    <row r="10" spans="1:5" x14ac:dyDescent="0.25">
      <c r="A10" s="7" t="s">
        <v>22</v>
      </c>
      <c r="B10" s="8">
        <v>5720</v>
      </c>
      <c r="C10" s="8">
        <v>5420</v>
      </c>
      <c r="D10" s="8">
        <f>B10-C10</f>
        <v>300</v>
      </c>
      <c r="E10" s="7" t="s">
        <v>23</v>
      </c>
    </row>
    <row r="11" spans="1:5" x14ac:dyDescent="0.25">
      <c r="A11" s="5" t="s">
        <v>24</v>
      </c>
      <c r="B11" s="6">
        <v>3140</v>
      </c>
      <c r="C11" s="6">
        <v>3380</v>
      </c>
      <c r="D11" s="6">
        <f>B11-C11</f>
        <v>-240</v>
      </c>
      <c r="E11" s="5" t="s">
        <v>25</v>
      </c>
    </row>
    <row r="12" spans="1:5" x14ac:dyDescent="0.25">
      <c r="A12" s="7" t="s">
        <v>11</v>
      </c>
      <c r="B12" s="8" t="s">
        <v>11</v>
      </c>
      <c r="C12" s="8" t="s">
        <v>11</v>
      </c>
      <c r="D12" s="8" t="s">
        <v>11</v>
      </c>
      <c r="E12" s="7" t="s">
        <v>11</v>
      </c>
    </row>
    <row r="13" spans="1:5" x14ac:dyDescent="0.25">
      <c r="A13" s="5" t="s">
        <v>26</v>
      </c>
      <c r="B13" s="6" t="s">
        <v>11</v>
      </c>
      <c r="C13" s="6" t="s">
        <v>11</v>
      </c>
      <c r="D13" s="6">
        <f>SUM(D8:D11)</f>
        <v>28542.6</v>
      </c>
      <c r="E13" s="5" t="s">
        <v>27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8" style="1" customWidth="1"/>
    <col min="4" max="4" width="16" style="1" customWidth="1"/>
    <col min="5" max="5" width="18" style="1" customWidth="1"/>
    <col min="6" max="6" width="14" customWidth="1"/>
    <col min="7" max="7" width="16" customWidth="1"/>
    <col min="8" max="8" width="62" customWidth="1"/>
  </cols>
  <sheetData>
    <row r="1" ht="24" customHeight="1" spans="1:8" x14ac:dyDescent="0.25">
      <c r="A1" s="3" t="s">
        <v>28</v>
      </c>
      <c r="B1" s="3" t="s">
        <v>29</v>
      </c>
      <c r="C1" s="4" t="s">
        <v>30</v>
      </c>
      <c r="D1" s="4" t="s">
        <v>4</v>
      </c>
      <c r="E1" s="4" t="s">
        <v>31</v>
      </c>
      <c r="F1" s="3" t="s">
        <v>32</v>
      </c>
      <c r="G1" s="3" t="s">
        <v>33</v>
      </c>
      <c r="H1" s="3" t="s">
        <v>5</v>
      </c>
    </row>
    <row r="2" spans="1:8" x14ac:dyDescent="0.25">
      <c r="A2" s="5" t="s">
        <v>34</v>
      </c>
      <c r="B2" s="5" t="s">
        <v>35</v>
      </c>
      <c r="C2" s="6">
        <v>18620</v>
      </c>
      <c r="D2" s="6">
        <f>C2-E2</f>
        <v>0</v>
      </c>
      <c r="E2" s="6">
        <v>18620</v>
      </c>
      <c r="F2" s="5" t="s">
        <v>35</v>
      </c>
      <c r="G2" s="5" t="s">
        <v>36</v>
      </c>
      <c r="H2" s="5" t="s">
        <v>11</v>
      </c>
    </row>
    <row r="3" spans="1:8" x14ac:dyDescent="0.25">
      <c r="A3" s="7" t="s">
        <v>37</v>
      </c>
      <c r="B3" s="7" t="s">
        <v>35</v>
      </c>
      <c r="C3" s="8">
        <v>4380.5</v>
      </c>
      <c r="D3" s="8">
        <f>C3-E3</f>
        <v>0</v>
      </c>
      <c r="E3" s="8">
        <v>4380.5</v>
      </c>
      <c r="F3" s="7" t="s">
        <v>35</v>
      </c>
      <c r="G3" s="7" t="s">
        <v>38</v>
      </c>
      <c r="H3" s="7" t="s">
        <v>11</v>
      </c>
    </row>
    <row r="4" spans="1:8" x14ac:dyDescent="0.25">
      <c r="A4" s="5" t="s">
        <v>39</v>
      </c>
      <c r="B4" s="5" t="s">
        <v>35</v>
      </c>
      <c r="C4" s="6">
        <v>92150</v>
      </c>
      <c r="D4" s="6">
        <f>C4-E4</f>
        <v>0</v>
      </c>
      <c r="E4" s="6">
        <v>92150</v>
      </c>
      <c r="F4" s="5" t="s">
        <v>35</v>
      </c>
      <c r="G4" s="5" t="s">
        <v>40</v>
      </c>
      <c r="H4" s="5" t="s">
        <v>11</v>
      </c>
    </row>
    <row r="5" spans="1:8" x14ac:dyDescent="0.25">
      <c r="A5" s="7" t="s">
        <v>18</v>
      </c>
      <c r="B5" s="7" t="s">
        <v>41</v>
      </c>
      <c r="C5" s="8">
        <v>7640</v>
      </c>
      <c r="D5" s="8">
        <f>C5-E5</f>
        <v>12.6</v>
      </c>
      <c r="E5" s="8">
        <v>7627.4</v>
      </c>
      <c r="F5" s="7" t="s">
        <v>41</v>
      </c>
      <c r="G5" s="7" t="s">
        <v>42</v>
      </c>
      <c r="H5" s="7" t="s">
        <v>19</v>
      </c>
    </row>
    <row r="6" spans="1:8" x14ac:dyDescent="0.25">
      <c r="A6" s="5" t="s">
        <v>43</v>
      </c>
      <c r="B6" s="5" t="s">
        <v>41</v>
      </c>
      <c r="C6" s="6">
        <v>15300</v>
      </c>
      <c r="D6" s="6">
        <f>C6-E6</f>
        <v>0</v>
      </c>
      <c r="E6" s="6">
        <v>15300</v>
      </c>
      <c r="F6" s="5" t="s">
        <v>41</v>
      </c>
      <c r="G6" s="5" t="s">
        <v>44</v>
      </c>
      <c r="H6" s="5" t="s">
        <v>11</v>
      </c>
    </row>
    <row r="7" spans="1:8" x14ac:dyDescent="0.25">
      <c r="A7" s="7" t="s">
        <v>45</v>
      </c>
      <c r="B7" s="7" t="s">
        <v>41</v>
      </c>
      <c r="C7" s="8">
        <v>2280</v>
      </c>
      <c r="D7" s="8">
        <f>C7-E7</f>
        <v>0</v>
      </c>
      <c r="E7" s="8">
        <v>2280</v>
      </c>
      <c r="F7" s="7" t="s">
        <v>41</v>
      </c>
      <c r="G7" s="7" t="s">
        <v>46</v>
      </c>
      <c r="H7" s="7" t="s">
        <v>11</v>
      </c>
    </row>
    <row r="8" spans="1:8" x14ac:dyDescent="0.25">
      <c r="A8" s="5" t="s">
        <v>47</v>
      </c>
      <c r="B8" s="5" t="s">
        <v>48</v>
      </c>
      <c r="C8" s="6">
        <v>43900</v>
      </c>
      <c r="D8" s="6">
        <f>C8-E8</f>
        <v>0</v>
      </c>
      <c r="E8" s="6">
        <v>43900</v>
      </c>
      <c r="F8" s="5" t="s">
        <v>48</v>
      </c>
      <c r="G8" s="5" t="s">
        <v>49</v>
      </c>
      <c r="H8" s="5" t="s">
        <v>11</v>
      </c>
    </row>
    <row r="9" spans="1:8" x14ac:dyDescent="0.25">
      <c r="A9" s="7" t="s">
        <v>50</v>
      </c>
      <c r="B9" s="7" t="s">
        <v>48</v>
      </c>
      <c r="C9" s="8">
        <v>6150</v>
      </c>
      <c r="D9" s="8">
        <f>C9-E9</f>
        <v>0</v>
      </c>
      <c r="E9" s="8">
        <v>6150</v>
      </c>
      <c r="F9" s="7" t="s">
        <v>48</v>
      </c>
      <c r="G9" s="7" t="s">
        <v>51</v>
      </c>
      <c r="H9" s="7" t="s">
        <v>11</v>
      </c>
    </row>
    <row r="10" spans="1:8" x14ac:dyDescent="0.25">
      <c r="A10" s="5" t="s">
        <v>20</v>
      </c>
      <c r="B10" s="5" t="s">
        <v>48</v>
      </c>
      <c r="C10" s="6">
        <v>28470</v>
      </c>
      <c r="D10" s="6">
        <f>C10-E10</f>
        <v>28470</v>
      </c>
      <c r="E10" s="6">
        <v>0</v>
      </c>
      <c r="F10" s="5" t="s">
        <v>11</v>
      </c>
      <c r="G10" s="5" t="s">
        <v>52</v>
      </c>
      <c r="H10" s="5" t="s">
        <v>21</v>
      </c>
    </row>
    <row r="11" spans="1:8" x14ac:dyDescent="0.25">
      <c r="A11" s="7" t="s">
        <v>53</v>
      </c>
      <c r="B11" s="7" t="s">
        <v>54</v>
      </c>
      <c r="C11" s="8">
        <v>11080</v>
      </c>
      <c r="D11" s="8">
        <f>C11-E11</f>
        <v>0</v>
      </c>
      <c r="E11" s="8">
        <v>11080</v>
      </c>
      <c r="F11" s="7" t="s">
        <v>54</v>
      </c>
      <c r="G11" s="7" t="s">
        <v>55</v>
      </c>
      <c r="H11" s="7" t="s">
        <v>11</v>
      </c>
    </row>
    <row r="12" spans="1:8" x14ac:dyDescent="0.25">
      <c r="A12" s="5" t="s">
        <v>56</v>
      </c>
      <c r="B12" s="5" t="s">
        <v>54</v>
      </c>
      <c r="C12" s="6">
        <v>39250</v>
      </c>
      <c r="D12" s="6">
        <f>C12-E12</f>
        <v>0</v>
      </c>
      <c r="E12" s="6">
        <v>39250</v>
      </c>
      <c r="F12" s="5" t="s">
        <v>54</v>
      </c>
      <c r="G12" s="5" t="s">
        <v>57</v>
      </c>
      <c r="H12" s="5" t="s">
        <v>11</v>
      </c>
    </row>
    <row r="13" spans="1:8" x14ac:dyDescent="0.25">
      <c r="A13" s="7" t="s">
        <v>22</v>
      </c>
      <c r="B13" s="7" t="s">
        <v>54</v>
      </c>
      <c r="C13" s="8">
        <v>5720</v>
      </c>
      <c r="D13" s="8">
        <f>C13-E13</f>
        <v>300</v>
      </c>
      <c r="E13" s="8">
        <v>5420</v>
      </c>
      <c r="F13" s="7" t="s">
        <v>54</v>
      </c>
      <c r="G13" s="7" t="s">
        <v>58</v>
      </c>
      <c r="H13" s="7" t="s">
        <v>23</v>
      </c>
    </row>
    <row r="14" spans="1:8" x14ac:dyDescent="0.25">
      <c r="A14" s="5" t="s">
        <v>59</v>
      </c>
      <c r="B14" s="5" t="s">
        <v>60</v>
      </c>
      <c r="C14" s="6">
        <v>76400</v>
      </c>
      <c r="D14" s="6">
        <f>C14-E14</f>
        <v>0</v>
      </c>
      <c r="E14" s="6">
        <v>76400</v>
      </c>
      <c r="F14" s="5" t="s">
        <v>60</v>
      </c>
      <c r="G14" s="5" t="s">
        <v>61</v>
      </c>
      <c r="H14" s="5" t="s">
        <v>11</v>
      </c>
    </row>
    <row r="15" spans="1:8" x14ac:dyDescent="0.25">
      <c r="A15" s="7" t="s">
        <v>62</v>
      </c>
      <c r="B15" s="7" t="s">
        <v>60</v>
      </c>
      <c r="C15" s="8">
        <v>1890</v>
      </c>
      <c r="D15" s="8">
        <f>C15-E15</f>
        <v>0</v>
      </c>
      <c r="E15" s="8">
        <v>1890</v>
      </c>
      <c r="F15" s="7" t="s">
        <v>60</v>
      </c>
      <c r="G15" s="7" t="s">
        <v>63</v>
      </c>
      <c r="H15" s="7" t="s">
        <v>11</v>
      </c>
    </row>
    <row r="16" spans="1:8" x14ac:dyDescent="0.25">
      <c r="A16" s="5" t="s">
        <v>64</v>
      </c>
      <c r="B16" s="5" t="s">
        <v>60</v>
      </c>
      <c r="C16" s="6">
        <v>24060</v>
      </c>
      <c r="D16" s="6">
        <f>C16-E16</f>
        <v>0</v>
      </c>
      <c r="E16" s="6">
        <v>24060</v>
      </c>
      <c r="F16" s="5" t="s">
        <v>60</v>
      </c>
      <c r="G16" s="5" t="s">
        <v>65</v>
      </c>
      <c r="H16" s="5" t="s">
        <v>11</v>
      </c>
    </row>
    <row r="17" spans="1:8" x14ac:dyDescent="0.25">
      <c r="A17" s="7" t="s">
        <v>66</v>
      </c>
      <c r="B17" s="7" t="s">
        <v>67</v>
      </c>
      <c r="C17" s="8">
        <v>13750</v>
      </c>
      <c r="D17" s="8">
        <f>C17-E17</f>
        <v>0</v>
      </c>
      <c r="E17" s="8">
        <v>13750</v>
      </c>
      <c r="F17" s="7" t="s">
        <v>67</v>
      </c>
      <c r="G17" s="7" t="s">
        <v>68</v>
      </c>
      <c r="H17" s="7" t="s">
        <v>11</v>
      </c>
    </row>
    <row r="18" spans="1:8" x14ac:dyDescent="0.25">
      <c r="A18" s="5" t="s">
        <v>69</v>
      </c>
      <c r="B18" s="5" t="s">
        <v>67</v>
      </c>
      <c r="C18" s="6">
        <v>8420</v>
      </c>
      <c r="D18" s="6">
        <f>C18-E18</f>
        <v>0</v>
      </c>
      <c r="E18" s="6">
        <v>8420</v>
      </c>
      <c r="F18" s="5" t="s">
        <v>67</v>
      </c>
      <c r="G18" s="5" t="s">
        <v>70</v>
      </c>
      <c r="H18" s="5" t="s">
        <v>11</v>
      </c>
    </row>
    <row r="19" spans="1:8" x14ac:dyDescent="0.25">
      <c r="A19" s="7" t="s">
        <v>71</v>
      </c>
      <c r="B19" s="7" t="s">
        <v>67</v>
      </c>
      <c r="C19" s="8">
        <v>55300</v>
      </c>
      <c r="D19" s="8">
        <f>C19-E19</f>
        <v>0</v>
      </c>
      <c r="E19" s="8">
        <v>55300</v>
      </c>
      <c r="F19" s="7" t="s">
        <v>67</v>
      </c>
      <c r="G19" s="7" t="s">
        <v>72</v>
      </c>
      <c r="H19" s="7" t="s">
        <v>11</v>
      </c>
    </row>
    <row r="20" spans="1:8" x14ac:dyDescent="0.25">
      <c r="A20" s="5" t="s">
        <v>24</v>
      </c>
      <c r="B20" s="5" t="s">
        <v>67</v>
      </c>
      <c r="C20" s="6">
        <v>3140</v>
      </c>
      <c r="D20" s="6">
        <f>C20-E20</f>
        <v>-240</v>
      </c>
      <c r="E20" s="6">
        <v>3380</v>
      </c>
      <c r="F20" s="5" t="s">
        <v>67</v>
      </c>
      <c r="G20" s="5" t="s">
        <v>73</v>
      </c>
      <c r="H20" s="5" t="s">
        <v>25</v>
      </c>
    </row>
    <row r="21" spans="1:8" x14ac:dyDescent="0.25">
      <c r="A21" s="7" t="s">
        <v>74</v>
      </c>
      <c r="B21" s="7" t="s">
        <v>75</v>
      </c>
      <c r="C21" s="8">
        <v>20950</v>
      </c>
      <c r="D21" s="8">
        <f>C21-E21</f>
        <v>0</v>
      </c>
      <c r="E21" s="8">
        <v>20950</v>
      </c>
      <c r="F21" s="7" t="s">
        <v>75</v>
      </c>
      <c r="G21" s="7" t="s">
        <v>76</v>
      </c>
      <c r="H21" s="7" t="s">
        <v>11</v>
      </c>
    </row>
    <row r="22" spans="1:8" x14ac:dyDescent="0.25">
      <c r="A22" s="5" t="s">
        <v>77</v>
      </c>
      <c r="B22" s="5" t="s">
        <v>75</v>
      </c>
      <c r="C22" s="6">
        <v>46700</v>
      </c>
      <c r="D22" s="6">
        <f>C22-E22</f>
        <v>0</v>
      </c>
      <c r="E22" s="6">
        <v>46700</v>
      </c>
      <c r="F22" s="5" t="s">
        <v>75</v>
      </c>
      <c r="G22" s="5" t="s">
        <v>78</v>
      </c>
      <c r="H22" s="5" t="s">
        <v>11</v>
      </c>
    </row>
    <row r="23" spans="1:8" x14ac:dyDescent="0.25">
      <c r="A23" s="7" t="s">
        <v>79</v>
      </c>
      <c r="B23" s="7" t="s">
        <v>75</v>
      </c>
      <c r="C23" s="8">
        <v>9830</v>
      </c>
      <c r="D23" s="8">
        <f>C23-E23</f>
        <v>0</v>
      </c>
      <c r="E23" s="8">
        <v>9830</v>
      </c>
      <c r="F23" s="7" t="s">
        <v>75</v>
      </c>
      <c r="G23" s="7" t="s">
        <v>80</v>
      </c>
      <c r="H23" s="7" t="s">
        <v>11</v>
      </c>
    </row>
    <row r="24" spans="1:8" x14ac:dyDescent="0.25">
      <c r="A24" s="5" t="s">
        <v>81</v>
      </c>
      <c r="B24" s="5" t="s">
        <v>75</v>
      </c>
      <c r="C24" s="6">
        <v>31500</v>
      </c>
      <c r="D24" s="6">
        <f>C24-E24</f>
        <v>0</v>
      </c>
      <c r="E24" s="6">
        <v>31500</v>
      </c>
      <c r="F24" s="5" t="s">
        <v>75</v>
      </c>
      <c r="G24" s="5" t="s">
        <v>82</v>
      </c>
      <c r="H24" s="5" t="s">
        <v>11</v>
      </c>
    </row>
    <row r="25" spans="1:8" x14ac:dyDescent="0.25">
      <c r="A25" s="7" t="s">
        <v>83</v>
      </c>
      <c r="B25" s="7" t="s">
        <v>75</v>
      </c>
      <c r="C25" s="8">
        <v>2470</v>
      </c>
      <c r="D25" s="8">
        <f>C25-E25</f>
        <v>0</v>
      </c>
      <c r="E25" s="8">
        <v>2470</v>
      </c>
      <c r="F25" s="7" t="s">
        <v>75</v>
      </c>
      <c r="G25" s="7" t="s">
        <v>84</v>
      </c>
      <c r="H25" s="7" t="s">
        <v>11</v>
      </c>
    </row>
  </sheetData>
  <autoFilter ref="A1:H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8" customWidth="1"/>
    <col min="2" max="2" width="96" customWidth="1"/>
  </cols>
  <sheetData>
    <row r="1" ht="24" customHeight="1" spans="1:2" x14ac:dyDescent="0.25">
      <c r="A1" s="3" t="s">
        <v>85</v>
      </c>
      <c r="B1" s="3" t="s">
        <v>86</v>
      </c>
    </row>
    <row r="2" spans="1:2" x14ac:dyDescent="0.25">
      <c r="A2" s="5" t="s">
        <v>87</v>
      </c>
      <c r="B2" s="5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5" t="s">
        <v>91</v>
      </c>
      <c r="B4" s="5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5" t="s">
        <v>95</v>
      </c>
      <c r="B6" s="5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5" t="s">
        <v>99</v>
      </c>
      <c r="B8" s="5" t="s">
        <v>100</v>
      </c>
    </row>
    <row r="9" spans="1:2" x14ac:dyDescent="0.25">
      <c r="A9" s="7" t="s">
        <v>101</v>
      </c>
      <c r="B9" s="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结论</vt:lpstr>
      <vt:lpstr>逐笔明细</vt:lpstr>
      <vt:lpstr>口径说明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平台流水与银行入账逐笔对账（2026 年第 27 周）</dc:title>
  <dc:subject>结论页只列对不平的笔，明细页两个来源左右并置、差额列夹在正中，口径单独一张表。差额一律是公式格，不是手填的数。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平台流水与银行入账逐笔对账（2026 年第 27 周） · OceanLeo 第一方原创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
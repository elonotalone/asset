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Credits1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离线包容量测算" state="visible" r:id="rId4"/>
  </sheets>
  <calcPr calcId="171027"/>
</workbook>
</file>

<file path=xl/sharedStrings.xml><?xml version="1.0" encoding="utf-8"?>
<sst xmlns="http://schemas.openxmlformats.org/spreadsheetml/2006/main" count="72" uniqueCount="50">
  <si>
    <t>离线素材包容量测算（三情景）</t>
  </si>
  <si>
    <t>项目</t>
  </si>
  <si>
    <t>保守</t>
  </si>
  <si>
    <t>基准</t>
  </si>
  <si>
    <t>乐观</t>
  </si>
  <si>
    <t>单位｜说明</t>
  </si>
  <si>
    <t>一、假设（只有这一段可以改）</t>
  </si>
  <si>
    <t/>
  </si>
  <si>
    <t>改动上面这一段，下面两段全部重算</t>
  </si>
  <si>
    <t>离线包体积上限（MB）</t>
  </si>
  <si>
    <t>MB｜装机侧给的硬上限，三档对应低端机 / 主流机 / 桌面端</t>
  </si>
  <si>
    <t>每件缩略图体积（KB）</t>
  </si>
  <si>
    <t>KB｜512 px 边长的 webp 缩略图实测区间；全库原件平均体积 67.2 KB 不是缩略图</t>
  </si>
  <si>
    <t>要覆盖的类目数（个）</t>
  </si>
  <si>
    <t>个｜全库共 238 个类目，够 100 件以上的只有 30 个；乐观档就是全覆盖</t>
  </si>
  <si>
    <t>每类目随包件数（件）</t>
  </si>
  <si>
    <t>件｜低于 40 件用户翻两屏就翻完了；400 件是一次会话翻得动的上限</t>
  </si>
  <si>
    <t>打包与索引开销率</t>
  </si>
  <si>
    <t>缩略图已是压缩格式，压缩包省不下来；这一项是清单与索引的额外占用</t>
  </si>
  <si>
    <t>二、推导（一格一步，公式写在格子里）</t>
  </si>
  <si>
    <t>每一格都能点开看见它是怎么算出来的</t>
  </si>
  <si>
    <t>随包件数合计（件）</t>
  </si>
  <si>
    <t>件｜覆盖类目数 × 每类目件数</t>
  </si>
  <si>
    <t>缩略图占用（MB）</t>
  </si>
  <si>
    <t>MB｜只随包缩略图，原件走按需下载</t>
  </si>
  <si>
    <t>索引与清单开销（MB）</t>
  </si>
  <si>
    <t>MB｜开销率乘缩略图占用</t>
  </si>
  <si>
    <t>离线包实际占用（MB）</t>
  </si>
  <si>
    <t>MB｜缩略图 + 开销</t>
  </si>
  <si>
    <t>余量（MB）</t>
  </si>
  <si>
    <t>MB｜上限 − 实际占用；为负就是装不下</t>
  </si>
  <si>
    <t>件数覆盖率（%）</t>
  </si>
  <si>
    <t>%｜分母是全库 119,838 件</t>
  </si>
  <si>
    <t>类目覆盖率（%）</t>
  </si>
  <si>
    <t>%｜分母是全库 238 个类目</t>
  </si>
  <si>
    <t>位图+矢量原件占用（MB）</t>
  </si>
  <si>
    <t>MB｜110,685 件的 file_size 实测和，与三情景无关，是个常数</t>
  </si>
  <si>
    <t>含小族原件后的占用（MB）</t>
  </si>
  <si>
    <t>MB｜缩略图 + 开销 + 位图矢量原件</t>
  </si>
  <si>
    <t>三、情景对照（只读这一段也够）</t>
  </si>
  <si>
    <t>同一行上三个情景直接可比</t>
  </si>
  <si>
    <t>占上限比例（%）</t>
  </si>
  <si>
    <t>%｜越接近 100 越没有增补空间</t>
  </si>
  <si>
    <t>摊到每件的字节（KB）</t>
  </si>
  <si>
    <t>KB｜含开销后的每件实际占用</t>
  </si>
  <si>
    <t>余量还能再装几件（件）</t>
  </si>
  <si>
    <t>件｜按同一档缩略图体积估</t>
  </si>
  <si>
    <t>含小族原件后占上限（%）</t>
  </si>
  <si>
    <t>%｜超过 100 就是这一档装不下全部位图与矢量原件</t>
  </si>
  <si>
    <t>只带缩略图时三档分别占上限 4.61% / 11.87% / 40.51%，缩略图从来不是瓶颈。把位图与矢量两族的原件（1376 MB 实测）也带上之后变成 273.4% / 79.1% / 57.3%——512 MB 那一档装不下，2048 MB 装得下。视频占全库字节 51.59%，任何档都不该随包，只能按需下载。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</si>
</sst>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##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1B4332"/>
      </patternFill>
    </fill>
    <fill>
      <patternFill patternType="solid">
        <fgColor rgb="FFF2F5F9"/>
      </patternFill>
    </fill>
  </fills>
  <borders count="3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 style="hair">
        <color rgb="FFD8DEE4"/>
      </left>
      <right style="hair">
        <color rgb="FFD8DEE4"/>
      </right>
      <top style="hair">
        <color rgb="FFD8DEE4"/>
      </top>
      <bottom style="hair">
        <color rgb="FFD8DEE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164" fontId="0" fillId="0" borderId="2" xfId="0" applyNumberFormat="1" applyBorder="1"/>
    <xf numFmtId="0" fontId="0" fillId="3" borderId="2" xfId="0" applyFill="1" applyBorder="1"/>
    <xf numFmtId="164" fontId="0" fillId="3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26" customWidth="1"/>
    <col min="2" max="4" width="12" style="1" customWidth="1"/>
    <col min="5" max="5" width="62" customWidth="1"/>
  </cols>
  <sheetData>
    <row r="1" ht="28" customHeight="1" spans="1:5" s="2" customFormat="1" x14ac:dyDescent="0.25">
      <c r="A1" s="2" t="s">
        <v>0</v>
      </c>
      <c r="B1" s="2"/>
      <c r="C1" s="2"/>
      <c r="D1" s="2"/>
      <c r="E1" s="2"/>
    </row>
    <row r="2" ht="24" customHeight="1" spans="1:5" x14ac:dyDescent="0.25">
      <c r="A2" s="3" t="s">
        <v>1</v>
      </c>
      <c r="B2" s="4" t="s">
        <v>2</v>
      </c>
      <c r="C2" s="4" t="s">
        <v>3</v>
      </c>
      <c r="D2" s="4" t="s">
        <v>4</v>
      </c>
      <c r="E2" s="3" t="s">
        <v>5</v>
      </c>
    </row>
    <row r="3" spans="1:5" x14ac:dyDescent="0.25">
      <c r="A3" s="5" t="s">
        <v>6</v>
      </c>
      <c r="B3" s="6" t="s">
        <v>7</v>
      </c>
      <c r="C3" s="6" t="s">
        <v>7</v>
      </c>
      <c r="D3" s="6" t="s">
        <v>7</v>
      </c>
      <c r="E3" s="5" t="s">
        <v>8</v>
      </c>
    </row>
    <row r="4" spans="1:5" x14ac:dyDescent="0.25">
      <c r="A4" s="7" t="s">
        <v>9</v>
      </c>
      <c r="B4" s="8">
        <v>512</v>
      </c>
      <c r="C4" s="8">
        <v>2048</v>
      </c>
      <c r="D4" s="8">
        <v>8192</v>
      </c>
      <c r="E4" s="7" t="s">
        <v>10</v>
      </c>
    </row>
    <row r="5" spans="1:5" x14ac:dyDescent="0.25">
      <c r="A5" s="5" t="s">
        <v>11</v>
      </c>
      <c r="B5" s="6">
        <v>18</v>
      </c>
      <c r="C5" s="6">
        <v>24</v>
      </c>
      <c r="D5" s="6">
        <v>34</v>
      </c>
      <c r="E5" s="5" t="s">
        <v>12</v>
      </c>
    </row>
    <row r="6" spans="1:5" x14ac:dyDescent="0.25">
      <c r="A6" s="7" t="s">
        <v>13</v>
      </c>
      <c r="B6" s="8">
        <v>30</v>
      </c>
      <c r="C6" s="8">
        <v>80</v>
      </c>
      <c r="D6" s="8">
        <v>238</v>
      </c>
      <c r="E6" s="7" t="s">
        <v>14</v>
      </c>
    </row>
    <row r="7" spans="1:5" x14ac:dyDescent="0.25">
      <c r="A7" s="5" t="s">
        <v>15</v>
      </c>
      <c r="B7" s="6">
        <v>40</v>
      </c>
      <c r="C7" s="6">
        <v>120</v>
      </c>
      <c r="D7" s="6">
        <v>400</v>
      </c>
      <c r="E7" s="5" t="s">
        <v>16</v>
      </c>
    </row>
    <row r="8" spans="1:5" x14ac:dyDescent="0.25">
      <c r="A8" s="7" t="s">
        <v>17</v>
      </c>
      <c r="B8" s="8">
        <v>0.12</v>
      </c>
      <c r="C8" s="8">
        <v>0.08</v>
      </c>
      <c r="D8" s="8">
        <v>0.05</v>
      </c>
      <c r="E8" s="7" t="s">
        <v>18</v>
      </c>
    </row>
    <row r="9" spans="1:5" x14ac:dyDescent="0.25">
      <c r="A9" s="5" t="s">
        <v>7</v>
      </c>
      <c r="B9" s="6" t="s">
        <v>7</v>
      </c>
      <c r="C9" s="6" t="s">
        <v>7</v>
      </c>
      <c r="D9" s="6" t="s">
        <v>7</v>
      </c>
      <c r="E9" s="5" t="s">
        <v>7</v>
      </c>
    </row>
    <row r="10" spans="1:5" x14ac:dyDescent="0.25">
      <c r="A10" s="7" t="s">
        <v>19</v>
      </c>
      <c r="B10" s="8" t="s">
        <v>7</v>
      </c>
      <c r="C10" s="8" t="s">
        <v>7</v>
      </c>
      <c r="D10" s="8" t="s">
        <v>7</v>
      </c>
      <c r="E10" s="7" t="s">
        <v>20</v>
      </c>
    </row>
    <row r="11" spans="1:5" x14ac:dyDescent="0.25">
      <c r="A11" s="5" t="s">
        <v>21</v>
      </c>
      <c r="B11" s="6">
        <f>B6*B7</f>
        <v>1200</v>
      </c>
      <c r="C11" s="6">
        <f>C6*C7</f>
        <v>9600</v>
      </c>
      <c r="D11" s="6">
        <f>D6*D7</f>
        <v>95200</v>
      </c>
      <c r="E11" s="5" t="s">
        <v>22</v>
      </c>
    </row>
    <row r="12" spans="1:5" x14ac:dyDescent="0.25">
      <c r="A12" s="7" t="s">
        <v>23</v>
      </c>
      <c r="B12" s="8">
        <f>B11*B5/1024</f>
        <v>21.1</v>
      </c>
      <c r="C12" s="8">
        <f>C11*C5/1024</f>
        <v>225</v>
      </c>
      <c r="D12" s="8">
        <f>D11*D5/1024</f>
        <v>3160.9</v>
      </c>
      <c r="E12" s="7" t="s">
        <v>24</v>
      </c>
    </row>
    <row r="13" spans="1:5" x14ac:dyDescent="0.25">
      <c r="A13" s="5" t="s">
        <v>25</v>
      </c>
      <c r="B13" s="6">
        <f>B12*B8</f>
        <v>2.5</v>
      </c>
      <c r="C13" s="6">
        <f>C12*C8</f>
        <v>18</v>
      </c>
      <c r="D13" s="6">
        <f>D12*D8</f>
        <v>158</v>
      </c>
      <c r="E13" s="5" t="s">
        <v>26</v>
      </c>
    </row>
    <row r="14" spans="1:5" x14ac:dyDescent="0.25">
      <c r="A14" s="7" t="s">
        <v>27</v>
      </c>
      <c r="B14" s="8">
        <f>B12+B13</f>
        <v>23.6</v>
      </c>
      <c r="C14" s="8">
        <f>C12+C13</f>
        <v>243</v>
      </c>
      <c r="D14" s="8">
        <f>D12+D13</f>
        <v>3319</v>
      </c>
      <c r="E14" s="7" t="s">
        <v>28</v>
      </c>
    </row>
    <row r="15" spans="1:5" x14ac:dyDescent="0.25">
      <c r="A15" s="5" t="s">
        <v>29</v>
      </c>
      <c r="B15" s="6">
        <f>B4-B14</f>
        <v>488.4</v>
      </c>
      <c r="C15" s="6">
        <f>C4-C14</f>
        <v>1805</v>
      </c>
      <c r="D15" s="6">
        <f>D4-D14</f>
        <v>4873</v>
      </c>
      <c r="E15" s="5" t="s">
        <v>30</v>
      </c>
    </row>
    <row r="16" spans="1:5" x14ac:dyDescent="0.25">
      <c r="A16" s="7" t="s">
        <v>31</v>
      </c>
      <c r="B16" s="8">
        <f>100*B11/119838</f>
        <v>1</v>
      </c>
      <c r="C16" s="8">
        <f>100*C11/119838</f>
        <v>8.01</v>
      </c>
      <c r="D16" s="8">
        <f>100*D11/119838</f>
        <v>79.44</v>
      </c>
      <c r="E16" s="7" t="s">
        <v>32</v>
      </c>
    </row>
    <row r="17" spans="1:5" x14ac:dyDescent="0.25">
      <c r="A17" s="5" t="s">
        <v>33</v>
      </c>
      <c r="B17" s="6">
        <f>100*B6/238</f>
        <v>12.61</v>
      </c>
      <c r="C17" s="6">
        <f>100*C6/238</f>
        <v>33.61</v>
      </c>
      <c r="D17" s="6">
        <f>100*D6/238</f>
        <v>100</v>
      </c>
      <c r="E17" s="5" t="s">
        <v>34</v>
      </c>
    </row>
    <row r="18" spans="1:5" x14ac:dyDescent="0.25">
      <c r="A18" s="7" t="s">
        <v>35</v>
      </c>
      <c r="B18" s="8">
        <f>1376.0</f>
        <v>1376</v>
      </c>
      <c r="C18" s="8">
        <f>1376.0</f>
        <v>1376</v>
      </c>
      <c r="D18" s="8">
        <f>1376.0</f>
        <v>1376</v>
      </c>
      <c r="E18" s="7" t="s">
        <v>36</v>
      </c>
    </row>
    <row r="19" spans="1:5" x14ac:dyDescent="0.25">
      <c r="A19" s="5" t="s">
        <v>37</v>
      </c>
      <c r="B19" s="6">
        <f>B14+B18</f>
        <v>1399.6</v>
      </c>
      <c r="C19" s="6">
        <f>C14+C18</f>
        <v>1619</v>
      </c>
      <c r="D19" s="6">
        <f>D14+D18</f>
        <v>4695</v>
      </c>
      <c r="E19" s="5" t="s">
        <v>38</v>
      </c>
    </row>
    <row r="20" spans="1:5" x14ac:dyDescent="0.25">
      <c r="A20" s="7" t="s">
        <v>7</v>
      </c>
      <c r="B20" s="8" t="s">
        <v>7</v>
      </c>
      <c r="C20" s="8" t="s">
        <v>7</v>
      </c>
      <c r="D20" s="8" t="s">
        <v>7</v>
      </c>
      <c r="E20" s="7" t="s">
        <v>7</v>
      </c>
    </row>
    <row r="21" spans="1:5" x14ac:dyDescent="0.25">
      <c r="A21" s="5" t="s">
        <v>39</v>
      </c>
      <c r="B21" s="6" t="s">
        <v>7</v>
      </c>
      <c r="C21" s="6" t="s">
        <v>7</v>
      </c>
      <c r="D21" s="6" t="s">
        <v>7</v>
      </c>
      <c r="E21" s="5" t="s">
        <v>40</v>
      </c>
    </row>
    <row r="22" spans="1:5" x14ac:dyDescent="0.25">
      <c r="A22" s="7" t="s">
        <v>41</v>
      </c>
      <c r="B22" s="8">
        <f>100*B14/B4</f>
        <v>4.61</v>
      </c>
      <c r="C22" s="8">
        <f>100*C14/C4</f>
        <v>11.87</v>
      </c>
      <c r="D22" s="8">
        <f>100*D14/D4</f>
        <v>40.51</v>
      </c>
      <c r="E22" s="7" t="s">
        <v>42</v>
      </c>
    </row>
    <row r="23" spans="1:5" x14ac:dyDescent="0.25">
      <c r="A23" s="5" t="s">
        <v>43</v>
      </c>
      <c r="B23" s="6">
        <f>B14*1024/B11</f>
        <v>20.2</v>
      </c>
      <c r="C23" s="6">
        <f>C14*1024/C11</f>
        <v>25.9</v>
      </c>
      <c r="D23" s="6">
        <f>D14*1024/D11</f>
        <v>35.7</v>
      </c>
      <c r="E23" s="5" t="s">
        <v>44</v>
      </c>
    </row>
    <row r="24" spans="1:5" x14ac:dyDescent="0.25">
      <c r="A24" s="7" t="s">
        <v>45</v>
      </c>
      <c r="B24" s="8">
        <f>B15*1024/(B5*(1+B8))</f>
        <v>24806</v>
      </c>
      <c r="C24" s="8">
        <f>C15*1024/(C5*(1+C8))</f>
        <v>71309</v>
      </c>
      <c r="D24" s="8">
        <f>D15*1024/(D5*(1+D8))</f>
        <v>139775</v>
      </c>
      <c r="E24" s="7" t="s">
        <v>46</v>
      </c>
    </row>
    <row r="25" spans="1:5" x14ac:dyDescent="0.25">
      <c r="A25" s="5" t="s">
        <v>47</v>
      </c>
      <c r="B25" s="6">
        <f>100*B19/B4</f>
        <v>273.37</v>
      </c>
      <c r="C25" s="6">
        <f>100*C19/C4</f>
        <v>79.05</v>
      </c>
      <c r="D25" s="6">
        <f>100*D19/D4</f>
        <v>57.31</v>
      </c>
      <c r="E25" s="5" t="s">
        <v>48</v>
      </c>
    </row>
    <row r="26" spans="1:5" x14ac:dyDescent="0.25">
      <c r="A26" s="7" t="s">
        <v>7</v>
      </c>
      <c r="B26" s="8" t="s">
        <v>7</v>
      </c>
      <c r="C26" s="8" t="s">
        <v>7</v>
      </c>
      <c r="D26" s="8" t="s">
        <v>7</v>
      </c>
      <c r="E26" s="7" t="s">
        <v>49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离线包容量测算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OceanLeo</dc:creator>
  <dc:title>离线素材包容量测算（三情景）</dc:title>
  <dc:subject>口径：只把缩略图随包，原件按需下载；全库 119,838 件 / 238 个类目为实测值。推导段与情景段每一格都是公式，改假设段即可重算。</dc:subject>
  <dc:description/>
  <cp:keywords/>
  <cp:category/>
  <cp:lastModifiedBy>OceanLeo</cp:lastModifiedBy>
  <dcterms:created xsi:type="dcterms:W3CDTF">2026-07-29T00:00:00Z</dcterms:created>
  <dcterms:modified xsi:type="dcterms:W3CDTF">2026-07-29T00:00:00Z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ceanLeoCredits">
    <vt:lpwstr>离线素材包容量测算（三情景） · OceanLeo 第一方原创。表内每一个数都来自本机 oceanleo 库的只读查询，SQL 原文与查询快照随件存放在 signals/E2-workshop/data/，可原样重跑对账。 · CC0-1.0</vt:lpwstr>
  </property>
  <property fmtid="{D5CDD505-2E9C-101B-9397-08002B2CF9AE}" pid="3" name="OceanLeoOrderId">
    <vt:lpwstr>null</vt:lpwstr>
  </property>
  <property fmtid="{D5CDD505-2E9C-101B-9397-08002B2CF9AE}" pid="4" name="OceanLeoAssembler">
    <vt:lpwstr>ooxml</vt:lpwstr>
  </property>
</Properties>
</file>
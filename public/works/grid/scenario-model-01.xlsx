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Credits1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投资回收测算" state="visible" r:id="rId4"/>
  </sheets>
  <calcPr calcId="171027"/>
</workbook>
</file>

<file path=xl/sharedStrings.xml><?xml version="1.0" encoding="utf-8"?>
<sst xmlns="http://schemas.openxmlformats.org/spreadsheetml/2006/main" count="84" uniqueCount="62">
  <si>
    <t>500 kWp 屋顶分布式光伏投资回收测算（三情景）</t>
  </si>
  <si>
    <t>项目</t>
  </si>
  <si>
    <t>保守</t>
  </si>
  <si>
    <t>基准</t>
  </si>
  <si>
    <t>乐观</t>
  </si>
  <si>
    <t>单位｜说明</t>
  </si>
  <si>
    <t>一、假设（只有这一段可以改）</t>
  </si>
  <si>
    <t/>
  </si>
  <si>
    <t>改动上面这一段，下面两段全部重算</t>
  </si>
  <si>
    <t>装机容量</t>
  </si>
  <si>
    <t>kWp｜屋顶可用面积约 4,200 ㎡，按 8.4 ㎡/kWp 折算，三情景相同</t>
  </si>
  <si>
    <t>单位造价（含并网）</t>
  </si>
  <si>
    <t>元/Wp｜组件 + 支架 + 逆变器 + 施工 + 并网；乐观情景假设集采落地</t>
  </si>
  <si>
    <t>首年等效利用小时</t>
  </si>
  <si>
    <t>h｜当地多年平均 1,080 h；保守取 P90，乐观取 P50 并考虑清洗到位</t>
  </si>
  <si>
    <t>年发电衰减率</t>
  </si>
  <si>
    <t>首年衰减已计入等效小时，此处为第 2 年起的线性年衰减</t>
  </si>
  <si>
    <t>自发自用比例</t>
  </si>
  <si>
    <t>取决于厂区白班负荷；两班制可到 0.85</t>
  </si>
  <si>
    <t>上网电价</t>
  </si>
  <si>
    <t>元/kWh｜燃煤发电基准价，三情景相同（政策价，不做假设）</t>
  </si>
  <si>
    <t>自用替代电价</t>
  </si>
  <si>
    <t>元/kWh｜大工业目录电价的加权均值；乐观情景假设尖峰时段占比提高</t>
  </si>
  <si>
    <t>年运维费率</t>
  </si>
  <si>
    <t>占初始投资｜含清洗、保险、逆变器更换摊销</t>
  </si>
  <si>
    <t>折现率</t>
  </si>
  <si>
    <t>企业加权平均资金成本</t>
  </si>
  <si>
    <t>计算年限</t>
  </si>
  <si>
    <t>年｜组件质保 25 年，三情景相同</t>
  </si>
  <si>
    <t>二、推导（一格一步，公式写在格子里）</t>
  </si>
  <si>
    <t>每一格都能点开看见它是怎么算出来的</t>
  </si>
  <si>
    <t>初始投资</t>
  </si>
  <si>
    <t>元｜含并网与验收费用，不含屋面加固</t>
  </si>
  <si>
    <t>首年发电量</t>
  </si>
  <si>
    <t>kWh｜等效利用小时 × 装机容量</t>
  </si>
  <si>
    <t>首年自用电量</t>
  </si>
  <si>
    <t>kWh｜自发自用比例由厂区白班负荷决定</t>
  </si>
  <si>
    <t>首年上网电量</t>
  </si>
  <si>
    <t>kWh｜余电全额上网</t>
  </si>
  <si>
    <t>首年自用节省</t>
  </si>
  <si>
    <t>元｜替代的是目录电价，不是上网电价</t>
  </si>
  <si>
    <t>首年上网收入</t>
  </si>
  <si>
    <t>元｜燃煤基准价，无补贴</t>
  </si>
  <si>
    <t>首年运维支出</t>
  </si>
  <si>
    <t>元｜费率按初始投资计，不随发电量变</t>
  </si>
  <si>
    <t>首年净现金流</t>
  </si>
  <si>
    <t>元｜未计所得税与折旧抵税</t>
  </si>
  <si>
    <t>25 年累计发电量</t>
  </si>
  <si>
    <t>kWh｜按几何衰减求和的闭式解</t>
  </si>
  <si>
    <t>25 年累计净现金流</t>
  </si>
  <si>
    <t>元｜未折现；电价按不变价，未计上调</t>
  </si>
  <si>
    <t>25 年净现金流现值</t>
  </si>
  <si>
    <t>元｜等比现金流现值闭式解；与逐年现金流表的差异 &lt; 0.3%</t>
  </si>
  <si>
    <t>三、情景对照（只读这一段也够）</t>
  </si>
  <si>
    <t>同一行上三个情景直接可比</t>
  </si>
  <si>
    <t>静态回收期</t>
  </si>
  <si>
    <t>年｜初始投资 ÷ 首年净现金流，不考虑衰减与折现</t>
  </si>
  <si>
    <t>25 年 NPV</t>
  </si>
  <si>
    <t>万元｜净现金流现值 − 初始投资</t>
  </si>
  <si>
    <t>度电成本 LCOE</t>
  </si>
  <si>
    <t>元/kWh｜未折现；全生命周期支出 ÷ 全生命周期发电量</t>
  </si>
  <si>
    <t>基准情景静态回收期 6.28 年、NPV 186.8 万元、LCOE 0.182 元/kWh；保守情景 LCOE 0.231 元/kWh 仍低于自用替代电价 0.612 元/kWh，即最差情景下自用部分依然划算。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</si>
</sst>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8A5A00"/>
      </patternFill>
    </fill>
    <fill>
      <patternFill patternType="solid">
        <fgColor rgb="FFF2F5F9"/>
      </patternFill>
    </fill>
  </fills>
  <borders count="3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hair">
        <color rgb="FFD8DEE4"/>
      </left>
      <right style="hair">
        <color rgb="FFD8DEE4"/>
      </right>
      <top style="hair">
        <color rgb="FFD8DEE4"/>
      </top>
      <bottom style="hair">
        <color rgb="FFD8DEE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0" fontId="0" fillId="3" borderId="2" xfId="0" applyFill="1" applyBorder="1"/>
    <xf numFmtId="164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24" customWidth="1"/>
    <col min="2" max="4" width="12" style="1" customWidth="1"/>
    <col min="5" max="5" width="62" customWidth="1"/>
  </cols>
  <sheetData>
    <row r="1" ht="28" customHeight="1" spans="1:5" s="2" customFormat="1" x14ac:dyDescent="0.25">
      <c r="A1" s="2" t="s">
        <v>0</v>
      </c>
      <c r="B1" s="2"/>
      <c r="C1" s="2"/>
      <c r="D1" s="2"/>
      <c r="E1" s="2"/>
    </row>
    <row r="2" ht="24" customHeight="1" spans="1:5" x14ac:dyDescent="0.25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</row>
    <row r="3" spans="1:5" x14ac:dyDescent="0.25">
      <c r="A3" s="5" t="s">
        <v>6</v>
      </c>
      <c r="B3" s="6" t="s">
        <v>7</v>
      </c>
      <c r="C3" s="6" t="s">
        <v>7</v>
      </c>
      <c r="D3" s="6" t="s">
        <v>7</v>
      </c>
      <c r="E3" s="5" t="s">
        <v>8</v>
      </c>
    </row>
    <row r="4" spans="1:5" x14ac:dyDescent="0.25">
      <c r="A4" s="7" t="s">
        <v>9</v>
      </c>
      <c r="B4" s="8">
        <v>500</v>
      </c>
      <c r="C4" s="8">
        <v>500</v>
      </c>
      <c r="D4" s="8">
        <v>500</v>
      </c>
      <c r="E4" s="7" t="s">
        <v>10</v>
      </c>
    </row>
    <row r="5" spans="1:5" x14ac:dyDescent="0.25">
      <c r="A5" s="5" t="s">
        <v>11</v>
      </c>
      <c r="B5" s="6">
        <v>3.85</v>
      </c>
      <c r="C5" s="6">
        <v>3.62</v>
      </c>
      <c r="D5" s="6">
        <v>3.45</v>
      </c>
      <c r="E5" s="5" t="s">
        <v>12</v>
      </c>
    </row>
    <row r="6" spans="1:5" x14ac:dyDescent="0.25">
      <c r="A6" s="7" t="s">
        <v>13</v>
      </c>
      <c r="B6" s="8">
        <v>980</v>
      </c>
      <c r="C6" s="8">
        <v>1080</v>
      </c>
      <c r="D6" s="8">
        <v>1150</v>
      </c>
      <c r="E6" s="7" t="s">
        <v>14</v>
      </c>
    </row>
    <row r="7" spans="1:5" x14ac:dyDescent="0.25">
      <c r="A7" s="5" t="s">
        <v>15</v>
      </c>
      <c r="B7" s="6">
        <v>0.007</v>
      </c>
      <c r="C7" s="6">
        <v>0.0055</v>
      </c>
      <c r="D7" s="6">
        <v>0.0045</v>
      </c>
      <c r="E7" s="5" t="s">
        <v>16</v>
      </c>
    </row>
    <row r="8" spans="1:5" x14ac:dyDescent="0.25">
      <c r="A8" s="7" t="s">
        <v>17</v>
      </c>
      <c r="B8" s="8">
        <v>0.55</v>
      </c>
      <c r="C8" s="8">
        <v>0.7</v>
      </c>
      <c r="D8" s="8">
        <v>0.85</v>
      </c>
      <c r="E8" s="7" t="s">
        <v>18</v>
      </c>
    </row>
    <row r="9" spans="1:5" x14ac:dyDescent="0.25">
      <c r="A9" s="5" t="s">
        <v>19</v>
      </c>
      <c r="B9" s="6">
        <v>0.391</v>
      </c>
      <c r="C9" s="6">
        <v>0.391</v>
      </c>
      <c r="D9" s="6">
        <v>0.391</v>
      </c>
      <c r="E9" s="5" t="s">
        <v>20</v>
      </c>
    </row>
    <row r="10" spans="1:5" x14ac:dyDescent="0.25">
      <c r="A10" s="7" t="s">
        <v>21</v>
      </c>
      <c r="B10" s="8">
        <v>0.612</v>
      </c>
      <c r="C10" s="8">
        <v>0.648</v>
      </c>
      <c r="D10" s="8">
        <v>0.702</v>
      </c>
      <c r="E10" s="7" t="s">
        <v>22</v>
      </c>
    </row>
    <row r="11" spans="1:5" x14ac:dyDescent="0.25">
      <c r="A11" s="5" t="s">
        <v>23</v>
      </c>
      <c r="B11" s="6">
        <v>0.014</v>
      </c>
      <c r="C11" s="6">
        <v>0.011</v>
      </c>
      <c r="D11" s="6">
        <v>0.009</v>
      </c>
      <c r="E11" s="5" t="s">
        <v>24</v>
      </c>
    </row>
    <row r="12" spans="1:5" x14ac:dyDescent="0.25">
      <c r="A12" s="7" t="s">
        <v>25</v>
      </c>
      <c r="B12" s="8">
        <v>0.065</v>
      </c>
      <c r="C12" s="8">
        <v>0.055</v>
      </c>
      <c r="D12" s="8">
        <v>0.048</v>
      </c>
      <c r="E12" s="7" t="s">
        <v>26</v>
      </c>
    </row>
    <row r="13" spans="1:5" x14ac:dyDescent="0.25">
      <c r="A13" s="5" t="s">
        <v>27</v>
      </c>
      <c r="B13" s="6">
        <v>25</v>
      </c>
      <c r="C13" s="6">
        <v>25</v>
      </c>
      <c r="D13" s="6">
        <v>25</v>
      </c>
      <c r="E13" s="5" t="s">
        <v>28</v>
      </c>
    </row>
    <row r="14" spans="1:5" x14ac:dyDescent="0.25">
      <c r="A14" s="7" t="s">
        <v>7</v>
      </c>
      <c r="B14" s="8" t="s">
        <v>7</v>
      </c>
      <c r="C14" s="8" t="s">
        <v>7</v>
      </c>
      <c r="D14" s="8" t="s">
        <v>7</v>
      </c>
      <c r="E14" s="7" t="s">
        <v>7</v>
      </c>
    </row>
    <row r="15" spans="1:5" x14ac:dyDescent="0.25">
      <c r="A15" s="5" t="s">
        <v>29</v>
      </c>
      <c r="B15" s="6" t="s">
        <v>7</v>
      </c>
      <c r="C15" s="6" t="s">
        <v>7</v>
      </c>
      <c r="D15" s="6" t="s">
        <v>7</v>
      </c>
      <c r="E15" s="5" t="s">
        <v>30</v>
      </c>
    </row>
    <row r="16" spans="1:5" x14ac:dyDescent="0.25">
      <c r="A16" s="7" t="s">
        <v>31</v>
      </c>
      <c r="B16" s="8">
        <f>B4*1000*B5</f>
        <v>1925000</v>
      </c>
      <c r="C16" s="8">
        <f>C4*1000*C5</f>
        <v>1810000</v>
      </c>
      <c r="D16" s="8">
        <f>D4*1000*D5</f>
        <v>1725000</v>
      </c>
      <c r="E16" s="7" t="s">
        <v>32</v>
      </c>
    </row>
    <row r="17" spans="1:5" x14ac:dyDescent="0.25">
      <c r="A17" s="5" t="s">
        <v>33</v>
      </c>
      <c r="B17" s="6">
        <f>B4*B6</f>
        <v>490000</v>
      </c>
      <c r="C17" s="6">
        <f>C4*C6</f>
        <v>540000</v>
      </c>
      <c r="D17" s="6">
        <f>D4*D6</f>
        <v>575000</v>
      </c>
      <c r="E17" s="5" t="s">
        <v>34</v>
      </c>
    </row>
    <row r="18" spans="1:5" x14ac:dyDescent="0.25">
      <c r="A18" s="7" t="s">
        <v>35</v>
      </c>
      <c r="B18" s="8">
        <f>B17*B8</f>
        <v>269500</v>
      </c>
      <c r="C18" s="8">
        <f>C17*C8</f>
        <v>378000</v>
      </c>
      <c r="D18" s="8">
        <f>D17*D8</f>
        <v>488750</v>
      </c>
      <c r="E18" s="7" t="s">
        <v>36</v>
      </c>
    </row>
    <row r="19" spans="1:5" x14ac:dyDescent="0.25">
      <c r="A19" s="5" t="s">
        <v>37</v>
      </c>
      <c r="B19" s="6">
        <f>B17-B18</f>
        <v>220500</v>
      </c>
      <c r="C19" s="6">
        <f>C17-C18</f>
        <v>162000</v>
      </c>
      <c r="D19" s="6">
        <f>D17-D18</f>
        <v>86250</v>
      </c>
      <c r="E19" s="5" t="s">
        <v>38</v>
      </c>
    </row>
    <row r="20" spans="1:5" x14ac:dyDescent="0.25">
      <c r="A20" s="7" t="s">
        <v>39</v>
      </c>
      <c r="B20" s="8">
        <f>B18*B10</f>
        <v>164934</v>
      </c>
      <c r="C20" s="8">
        <f>C18*C10</f>
        <v>244944</v>
      </c>
      <c r="D20" s="8">
        <f>D18*D10</f>
        <v>343102.5</v>
      </c>
      <c r="E20" s="7" t="s">
        <v>40</v>
      </c>
    </row>
    <row r="21" spans="1:5" x14ac:dyDescent="0.25">
      <c r="A21" s="5" t="s">
        <v>41</v>
      </c>
      <c r="B21" s="6">
        <f>B19*B9</f>
        <v>86215.5</v>
      </c>
      <c r="C21" s="6">
        <f>C19*C9</f>
        <v>63342</v>
      </c>
      <c r="D21" s="6">
        <f>D19*D9</f>
        <v>33723.75</v>
      </c>
      <c r="E21" s="5" t="s">
        <v>42</v>
      </c>
    </row>
    <row r="22" spans="1:5" x14ac:dyDescent="0.25">
      <c r="A22" s="7" t="s">
        <v>43</v>
      </c>
      <c r="B22" s="8">
        <f>B16*B11</f>
        <v>26950</v>
      </c>
      <c r="C22" s="8">
        <f>C16*C11</f>
        <v>19910</v>
      </c>
      <c r="D22" s="8">
        <f>D16*D11</f>
        <v>15525</v>
      </c>
      <c r="E22" s="7" t="s">
        <v>44</v>
      </c>
    </row>
    <row r="23" spans="1:5" x14ac:dyDescent="0.25">
      <c r="A23" s="5" t="s">
        <v>45</v>
      </c>
      <c r="B23" s="6">
        <f>B20+B21-B22</f>
        <v>224199.5</v>
      </c>
      <c r="C23" s="6">
        <f>C20+C21-C22</f>
        <v>288376</v>
      </c>
      <c r="D23" s="6">
        <f>D20+D21-D22</f>
        <v>361301.25</v>
      </c>
      <c r="E23" s="5" t="s">
        <v>46</v>
      </c>
    </row>
    <row r="24" spans="1:5" x14ac:dyDescent="0.25">
      <c r="A24" s="7" t="s">
        <v>47</v>
      </c>
      <c r="B24" s="8">
        <f>B17*(1-(1-B7)^B13)/B7</f>
        <v>11274158</v>
      </c>
      <c r="C24" s="8">
        <f>C17*(1-(1-C7)^C13)/C7</f>
        <v>12645460</v>
      </c>
      <c r="D24" s="8">
        <f>D17*(1-(1-D7)^D13)/D7</f>
        <v>13624880</v>
      </c>
      <c r="E24" s="7" t="s">
        <v>48</v>
      </c>
    </row>
    <row r="25" spans="1:5" x14ac:dyDescent="0.25">
      <c r="A25" s="5" t="s">
        <v>49</v>
      </c>
      <c r="B25" s="6">
        <f>B23*(1-(1-B7)^B13)/B7</f>
        <v>5158490.99</v>
      </c>
      <c r="C25" s="6">
        <f>C23*(1-(1-C7)^C13)/C7</f>
        <v>6753050.2</v>
      </c>
      <c r="D25" s="6">
        <f>D23*(1-(1-D7)^D13)/D7</f>
        <v>8561193.44</v>
      </c>
      <c r="E25" s="5" t="s">
        <v>50</v>
      </c>
    </row>
    <row r="26" spans="1:5" x14ac:dyDescent="0.25">
      <c r="A26" s="7" t="s">
        <v>51</v>
      </c>
      <c r="B26" s="8">
        <f>B23*(1-((1-B7)/(1+B12))^B13)/(B12+B7)</f>
        <v>2572762.47</v>
      </c>
      <c r="C26" s="8">
        <f>C23*(1-((1-C7)/(1+C12))^C13)/(C12+C7)</f>
        <v>3677585.44</v>
      </c>
      <c r="D26" s="8">
        <f>D23*(1-((1-D7)/(1+D12))^D13)/(D12+D7)</f>
        <v>4977741.1</v>
      </c>
      <c r="E26" s="7" t="s">
        <v>52</v>
      </c>
    </row>
    <row r="27" spans="1:5" x14ac:dyDescent="0.25">
      <c r="A27" s="5" t="s">
        <v>7</v>
      </c>
      <c r="B27" s="6" t="s">
        <v>7</v>
      </c>
      <c r="C27" s="6" t="s">
        <v>7</v>
      </c>
      <c r="D27" s="6" t="s">
        <v>7</v>
      </c>
      <c r="E27" s="5" t="s">
        <v>7</v>
      </c>
    </row>
    <row r="28" spans="1:5" x14ac:dyDescent="0.25">
      <c r="A28" s="7" t="s">
        <v>53</v>
      </c>
      <c r="B28" s="8" t="s">
        <v>7</v>
      </c>
      <c r="C28" s="8" t="s">
        <v>7</v>
      </c>
      <c r="D28" s="8" t="s">
        <v>7</v>
      </c>
      <c r="E28" s="7" t="s">
        <v>54</v>
      </c>
    </row>
    <row r="29" spans="1:5" x14ac:dyDescent="0.25">
      <c r="A29" s="5" t="s">
        <v>55</v>
      </c>
      <c r="B29" s="6">
        <f>B16/B23</f>
        <v>8.59</v>
      </c>
      <c r="C29" s="6">
        <f>C16/C23</f>
        <v>6.28</v>
      </c>
      <c r="D29" s="6">
        <f>D16/D23</f>
        <v>4.77</v>
      </c>
      <c r="E29" s="5" t="s">
        <v>56</v>
      </c>
    </row>
    <row r="30" spans="1:5" x14ac:dyDescent="0.25">
      <c r="A30" s="7" t="s">
        <v>57</v>
      </c>
      <c r="B30" s="8">
        <f>(B26-B16)/10000</f>
        <v>64.8</v>
      </c>
      <c r="C30" s="8">
        <f>(C26-C16)/10000</f>
        <v>186.8</v>
      </c>
      <c r="D30" s="8">
        <f>(D26-D16)/10000</f>
        <v>325.3</v>
      </c>
      <c r="E30" s="7" t="s">
        <v>58</v>
      </c>
    </row>
    <row r="31" spans="1:5" x14ac:dyDescent="0.25">
      <c r="A31" s="5" t="s">
        <v>59</v>
      </c>
      <c r="B31" s="6">
        <f>(B16+B22*B13)/B24</f>
        <v>0.231</v>
      </c>
      <c r="C31" s="6">
        <f>(C16+C22*C13)/C24</f>
        <v>0.182</v>
      </c>
      <c r="D31" s="6">
        <f>(D16+D22*D13)/D24</f>
        <v>0.155</v>
      </c>
      <c r="E31" s="5" t="s">
        <v>60</v>
      </c>
    </row>
    <row r="32" spans="1:5" x14ac:dyDescent="0.25">
      <c r="A32" s="7" t="s">
        <v>7</v>
      </c>
      <c r="B32" s="8" t="s">
        <v>7</v>
      </c>
      <c r="C32" s="8" t="s">
        <v>7</v>
      </c>
      <c r="D32" s="8" t="s">
        <v>7</v>
      </c>
      <c r="E32" s="7" t="s">
        <v>61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投资回收测算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OceanLeo</dc:creator>
  <dc:title>500 kWp 屋顶分布式光伏投资回收测算（三情景）</dc:title>
  <dc:subject>上段假设可改，中段推导每一步一格且公式在格子里，下段三情景横向对照。任何一个结论数都能从上面的格子一路追回到假设。</dc:subject>
  <dc:description/>
  <cp:keywords/>
  <cp:category/>
  <cp:lastModifiedBy>OceanLeo</cp:lastModifiedBy>
  <dcterms:created xsi:type="dcterms:W3CDTF">2026-07-29T00:00:00Z</dcterms:created>
  <dcterms:modified xsi:type="dcterms:W3CDTF">2026-07-29T00:00:00Z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ceanLeoCredits">
    <vt:lpwstr>500 kWp 屋顶分布式光伏投资回收测算（三情景） · OceanLeo 第一方原创 · CC0-1.0</vt:lpwstr>
  </property>
  <property fmtid="{D5CDD505-2E9C-101B-9397-08002B2CF9AE}" pid="3" name="OceanLeoOrderId">
    <vt:lpwstr>null</vt:lpwstr>
  </property>
  <property fmtid="{D5CDD505-2E9C-101B-9397-08002B2CF9AE}" pid="4" name="OceanLeoAssembler">
    <vt:lpwstr>ooxml</vt:lpwstr>
  </property>
</Properties>
</file>
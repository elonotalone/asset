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redits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论页" state="visible" r:id="rId4"/>
    <sheet sheetId="2" name="逐笔明细" state="visible" r:id="rId5"/>
    <sheet sheetId="3" name="口径说明" state="visible" r:id="rId6"/>
  </sheets>
  <calcPr calcId="171027"/>
</workbook>
</file>

<file path=xl/sharedStrings.xml><?xml version="1.0" encoding="utf-8"?>
<sst xmlns="http://schemas.openxmlformats.org/spreadsheetml/2006/main" count="170" uniqueCount="108">
  <si>
    <t>双源对账模板 · 平台流水 ↔ 银行入账（2026 年 6 月）</t>
  </si>
  <si>
    <t>项目 / 单号</t>
  </si>
  <si>
    <t>平台流水</t>
  </si>
  <si>
    <t>银行入账</t>
  </si>
  <si>
    <t>差额</t>
  </si>
  <si>
    <t>怎么读这一行</t>
  </si>
  <si>
    <t>期间合计</t>
  </si>
  <si>
    <t>两边各自的合计与净差额,先看这一行</t>
  </si>
  <si>
    <t>不平笔数</t>
  </si>
  <si>
    <t/>
  </si>
  <si>
    <t>明细页差额列非零的笔数,等于下面清单的行数</t>
  </si>
  <si>
    <t>差额占平台流水</t>
  </si>
  <si>
    <t>分母为零时返回 0,不让整张表变 #DIV/0!</t>
  </si>
  <si>
    <t>勾稽自校验</t>
  </si>
  <si>
    <t>两条独立算路要相等:合计相减 vs 逐笔差额求和。改任一笔金额,这一格会当场翻成「不平」</t>
  </si>
  <si>
    <t>以下只列对不平的笔（平的笔一条都不列）</t>
  </si>
  <si>
    <t>PF-260608-01</t>
  </si>
  <si>
    <t>通道手续费按笔扣,平台记毛额、银行记净额</t>
  </si>
  <si>
    <t>PF-260622-01</t>
  </si>
  <si>
    <t>月末最后一个工作日 17:00 后入账,银行落在次月 1 日</t>
  </si>
  <si>
    <t>PF-260630-03</t>
  </si>
  <si>
    <t>收单方按四舍五入到分归集,平台按笔记两位小数</t>
  </si>
  <si>
    <t>业务日期</t>
  </si>
  <si>
    <t>单号</t>
  </si>
  <si>
    <t>摘要</t>
  </si>
  <si>
    <t>平台流水金额</t>
  </si>
  <si>
    <t>银行入账金额</t>
  </si>
  <si>
    <t>差异归因（不平才写）</t>
  </si>
  <si>
    <t>2026-06-01</t>
  </si>
  <si>
    <t>PF-260601-01</t>
  </si>
  <si>
    <t>门店扫码收款</t>
  </si>
  <si>
    <t>2026-06-02</t>
  </si>
  <si>
    <t>PF-260602-01</t>
  </si>
  <si>
    <t>2026-06-03</t>
  </si>
  <si>
    <t>PF-260603-01</t>
  </si>
  <si>
    <t>小程序订单</t>
  </si>
  <si>
    <t>2026-06-04</t>
  </si>
  <si>
    <t>PF-260604-01</t>
  </si>
  <si>
    <t>2026-06-05</t>
  </si>
  <si>
    <t>PF-260605-01</t>
  </si>
  <si>
    <t>2026-06-08</t>
  </si>
  <si>
    <t>2026-06-09</t>
  </si>
  <si>
    <t>PF-260609-01</t>
  </si>
  <si>
    <t>企业转账</t>
  </si>
  <si>
    <t>2026-06-10</t>
  </si>
  <si>
    <t>PF-260610-01</t>
  </si>
  <si>
    <t>2026-06-11</t>
  </si>
  <si>
    <t>PF-260611-01</t>
  </si>
  <si>
    <t>2026-06-12</t>
  </si>
  <si>
    <t>PF-260612-01</t>
  </si>
  <si>
    <t>2026-06-15</t>
  </si>
  <si>
    <t>PF-260615-01</t>
  </si>
  <si>
    <t>2026-06-16</t>
  </si>
  <si>
    <t>PF-260616-01</t>
  </si>
  <si>
    <t>2026-06-17</t>
  </si>
  <si>
    <t>PF-260617-01</t>
  </si>
  <si>
    <t>2026-06-18</t>
  </si>
  <si>
    <t>PF-260618-01</t>
  </si>
  <si>
    <t>退款冲正</t>
  </si>
  <si>
    <t>2026-06-19</t>
  </si>
  <si>
    <t>PF-260619-01</t>
  </si>
  <si>
    <t>2026-06-22</t>
  </si>
  <si>
    <t>2026-06-23</t>
  </si>
  <si>
    <t>PF-260623-01</t>
  </si>
  <si>
    <t>2026-06-24</t>
  </si>
  <si>
    <t>PF-260624-01</t>
  </si>
  <si>
    <t>2026-06-25</t>
  </si>
  <si>
    <t>PF-260625-01</t>
  </si>
  <si>
    <t>2026-06-26</t>
  </si>
  <si>
    <t>PF-260626-01</t>
  </si>
  <si>
    <t>2026-06-29</t>
  </si>
  <si>
    <t>PF-260629-01</t>
  </si>
  <si>
    <t>2026-06-30</t>
  </si>
  <si>
    <t>PF-260630-01</t>
  </si>
  <si>
    <t>PF-260630-02</t>
  </si>
  <si>
    <t>合计</t>
  </si>
  <si>
    <t>口径项</t>
  </si>
  <si>
    <t>本表的约定</t>
  </si>
  <si>
    <t>取数时点</t>
  </si>
  <si>
    <t>平台流水取业务发生时间,银行入账取银行记账日。跨自然月的最后一个工作日 17:00 之后发生的,两边天然差一天。</t>
  </si>
  <si>
    <t>手续费</t>
  </si>
  <si>
    <t>平台记毛额、银行记净额。手续费差额留在差额列,不在明细里拆成两行。</t>
  </si>
  <si>
    <t>退款与冲正</t>
  </si>
  <si>
    <t>按负数记在发生当日,不倒冲原单,否则单号对不上。</t>
  </si>
  <si>
    <t>四舍五入</t>
  </si>
  <si>
    <t>两边都保留到分。收单方按归集口径四舍五入的那几笔,差额通常在一元以内。</t>
  </si>
  <si>
    <t>不纳入的交易</t>
  </si>
  <si>
    <t>内部账户之间的划转、押金与保证金的收付、未结算的预授权,三类都不进这张表。</t>
  </si>
  <si>
    <t>差额为零的处理</t>
  </si>
  <si>
    <t>结论页不列已经对平的笔;要看全部笔数,去明细页。</t>
  </si>
  <si>
    <t>换成自己的数据</t>
  </si>
  <si>
    <t>把明细页的 24 行换掉即可:结论页的合计、不平笔数、差额占比、勾稽自校验全部是公式,会自己跟着变。</t>
  </si>
  <si>
    <t>自校验怎么用</t>
  </si>
  <si>
    <t>结论页「勾稽自校验」显示「不平」时,说明合计与逐笔两条算路对不上,先查明细页有没有被手填覆盖过的差额格。</t>
  </si>
  <si>
    <t>差额列不许手填</t>
  </si>
  <si>
    <t>差额是两边相减的公式格。一旦被手填成数值,这张表就退化成一张死表:改了金额它不再跟着变,而勾稽自校验也就失去意义。</t>
  </si>
  <si>
    <t>不平清单怎么长出来</t>
  </si>
  <si>
    <t>结论页下半截按单号用 SUMIF 从明细页取数,不是手抄。新增一笔不平的,把它的单号填进第一列,右边三列会自己取到。</t>
  </si>
  <si>
    <t>筛选怎么用</t>
  </si>
  <si>
    <t>明细页首行冻结、整表开筛选。对账时的唯一动作是在差额列筛「非零」,筛出来几行,就核几行,核完清筛选。</t>
  </si>
  <si>
    <t>两边小数位</t>
  </si>
  <si>
    <t>两个来源的金额列保留同样的小数位。一边两位一边整数,会让人误以为在看两个量纲,并且把归集误差看成真差异。</t>
  </si>
  <si>
    <t>为什么不上颜色</t>
  </si>
  <si>
    <t>差额是否为零,看那一列有没有数就够了。对账表要打印出来签字,颜色打印出来就没了,靠颜色标注的异常会在纸上消失。</t>
  </si>
  <si>
    <t>能不能加下拉与条件格式</t>
  </si>
  <si>
    <t>不能。这条产线的写出器只有列宽、表头样式、隔行底纹、合并、冻结、筛选、公式七样,没有数据验证与条件格式;写进来只会交不出。</t>
  </si>
  <si>
    <t>月结怎么归档</t>
  </si>
  <si>
    <t>每月一份,文件名带期间。上月留下的跨月未达笔,在次月的口径页里单独记一行,不要回改上月已归档的那一份。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</si>
</sst>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6FEB"/>
      </patternFill>
    </fill>
    <fill>
      <patternFill patternType="solid">
        <fgColor rgb="FFF2F5F9"/>
      </patternFill>
    </fill>
  </fills>
  <borders count="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hair">
        <color rgb="FFD8DEE4"/>
      </left>
      <right style="hair">
        <color rgb="FFD8DEE4"/>
      </right>
      <top style="hair">
        <color rgb="FFD8DEE4"/>
      </top>
      <bottom style="hair">
        <color rgb="FFD8DEE4"/>
      </bottom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4" fontId="0" fillId="0" borderId="2" xfId="0" applyNumberFormat="1" applyBorder="1"/>
    <xf numFmtId="164" fontId="0" fillId="0" borderId="2" xfId="0" applyNumberFormat="1" applyBorder="1"/>
    <xf numFmtId="0" fontId="0" fillId="3" borderId="2" xfId="0" applyFill="1" applyBorder="1"/>
    <xf numFmtId="4" fontId="0" fillId="3" borderId="2" xfId="0" applyNumberFormat="1" applyFill="1" applyBorder="1"/>
    <xf numFmtId="16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3" width="16" style="1" customWidth="1"/>
    <col min="4" max="4" width="14" style="2" customWidth="1"/>
    <col min="5" max="5" width="52" customWidth="1"/>
  </cols>
  <sheetData>
    <row r="1" ht="28" customHeight="1" spans="1:5" s="3" customFormat="1" x14ac:dyDescent="0.25">
      <c r="A1" s="3" t="s">
        <v>0</v>
      </c>
      <c r="B1" s="3"/>
      <c r="C1" s="3"/>
      <c r="D1" s="3"/>
      <c r="E1" s="3"/>
    </row>
    <row r="2" ht="24" customHeight="1" spans="1:5" x14ac:dyDescent="0.25">
      <c r="A2" s="4" t="s">
        <v>1</v>
      </c>
      <c r="B2" s="5" t="s">
        <v>2</v>
      </c>
      <c r="C2" s="5" t="s">
        <v>3</v>
      </c>
      <c r="D2" s="6" t="s">
        <v>4</v>
      </c>
      <c r="E2" s="4" t="s">
        <v>5</v>
      </c>
    </row>
    <row r="3" spans="1:5" x14ac:dyDescent="0.25">
      <c r="A3" s="7" t="s">
        <v>6</v>
      </c>
      <c r="B3" s="8">
        <f>SUM('逐笔明细'!D2:D25)</f>
        <v>484741.5</v>
      </c>
      <c r="C3" s="8">
        <f>SUM('逐笔明细'!E2:E25)</f>
        <v>471679.9</v>
      </c>
      <c r="D3" s="9">
        <f>B3-C3</f>
        <v>13061.6</v>
      </c>
      <c r="E3" s="7" t="s">
        <v>7</v>
      </c>
    </row>
    <row r="4" spans="1:5" x14ac:dyDescent="0.25">
      <c r="A4" s="10" t="s">
        <v>8</v>
      </c>
      <c r="B4" s="11">
        <f>COUNTIF('逐笔明细'!F2:F25,"&lt;&gt;0")</f>
        <v>3</v>
      </c>
      <c r="C4" s="11" t="s">
        <v>9</v>
      </c>
      <c r="D4" s="12" t="s">
        <v>9</v>
      </c>
      <c r="E4" s="10" t="s">
        <v>10</v>
      </c>
    </row>
    <row r="5" spans="1:5" x14ac:dyDescent="0.25">
      <c r="A5" s="7" t="s">
        <v>11</v>
      </c>
      <c r="B5" s="8">
        <f>IFERROR(ABS(D3)/B3,0)</f>
        <v>0.026945495692033795</v>
      </c>
      <c r="C5" s="8" t="s">
        <v>9</v>
      </c>
      <c r="D5" s="9" t="s">
        <v>9</v>
      </c>
      <c r="E5" s="7" t="s">
        <v>12</v>
      </c>
    </row>
    <row r="6" spans="1:5" x14ac:dyDescent="0.25">
      <c r="A6" s="10" t="s">
        <v>13</v>
      </c>
      <c r="B6" s="11" t="str">
        <f>IF(ROUND(D3,2)=ROUND(SUM('逐笔明细'!F2:F25),2),"平","不平")</f>
        <v>平</v>
      </c>
      <c r="C6" s="11" t="s">
        <v>9</v>
      </c>
      <c r="D6" s="12" t="s">
        <v>9</v>
      </c>
      <c r="E6" s="10" t="s">
        <v>14</v>
      </c>
    </row>
    <row r="7" spans="1:5" x14ac:dyDescent="0.25">
      <c r="A7" s="7" t="s">
        <v>15</v>
      </c>
      <c r="B7" s="8" t="s">
        <v>9</v>
      </c>
      <c r="C7" s="8" t="s">
        <v>9</v>
      </c>
      <c r="D7" s="9" t="s">
        <v>9</v>
      </c>
      <c r="E7" s="7" t="s">
        <v>9</v>
      </c>
    </row>
    <row r="8" spans="1:5" x14ac:dyDescent="0.25">
      <c r="A8" s="10" t="s">
        <v>16</v>
      </c>
      <c r="B8" s="11">
        <f>SUMIF('逐笔明细'!$B$2:$B$25,$A8,'逐笔明细'!D$2:D$25)</f>
        <v>26730</v>
      </c>
      <c r="C8" s="11">
        <f>SUMIF('逐笔明细'!$B$2:$B$25,$A8,'逐笔明细'!E$2:E$25)</f>
        <v>26645.4</v>
      </c>
      <c r="D8" s="12">
        <f>B8-C8</f>
        <v>84.6</v>
      </c>
      <c r="E8" s="10" t="s">
        <v>17</v>
      </c>
    </row>
    <row r="9" spans="1:5" x14ac:dyDescent="0.25">
      <c r="A9" s="7" t="s">
        <v>18</v>
      </c>
      <c r="B9" s="8">
        <f>SUMIF('逐笔明细'!$B$2:$B$25,$A9,'逐笔明细'!D$2:D$25)</f>
        <v>12980</v>
      </c>
      <c r="C9" s="8">
        <f>SUMIF('逐笔明细'!$B$2:$B$25,$A9,'逐笔明细'!E$2:E$25)</f>
        <v>0</v>
      </c>
      <c r="D9" s="9">
        <f>B9-C9</f>
        <v>12980</v>
      </c>
      <c r="E9" s="7" t="s">
        <v>19</v>
      </c>
    </row>
    <row r="10" spans="1:5" x14ac:dyDescent="0.25">
      <c r="A10" s="10" t="s">
        <v>20</v>
      </c>
      <c r="B10" s="11">
        <f>SUMIF('逐笔明细'!$B$2:$B$25,$A10,'逐笔明细'!D$2:D$25)</f>
        <v>23150</v>
      </c>
      <c r="C10" s="11">
        <f>SUMIF('逐笔明细'!$B$2:$B$25,$A10,'逐笔明细'!E$2:E$25)</f>
        <v>23153</v>
      </c>
      <c r="D10" s="12">
        <f>B10-C10</f>
        <v>-3</v>
      </c>
      <c r="E10" s="10" t="s">
        <v>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5" width="16" style="1" customWidth="1"/>
    <col min="6" max="6" width="14" style="2" customWidth="1"/>
    <col min="7" max="7" width="46" customWidth="1"/>
  </cols>
  <sheetData>
    <row r="1" ht="24" customHeight="1" spans="1:7" x14ac:dyDescent="0.25">
      <c r="A1" s="4" t="s">
        <v>22</v>
      </c>
      <c r="B1" s="4" t="s">
        <v>23</v>
      </c>
      <c r="C1" s="4" t="s">
        <v>24</v>
      </c>
      <c r="D1" s="5" t="s">
        <v>25</v>
      </c>
      <c r="E1" s="5" t="s">
        <v>26</v>
      </c>
      <c r="F1" s="6" t="s">
        <v>4</v>
      </c>
      <c r="G1" s="4" t="s">
        <v>27</v>
      </c>
    </row>
    <row r="2" spans="1:7" x14ac:dyDescent="0.25">
      <c r="A2" s="7" t="s">
        <v>28</v>
      </c>
      <c r="B2" s="7" t="s">
        <v>29</v>
      </c>
      <c r="C2" s="7" t="s">
        <v>30</v>
      </c>
      <c r="D2" s="8">
        <v>18640</v>
      </c>
      <c r="E2" s="8">
        <v>18640</v>
      </c>
      <c r="F2" s="9">
        <f>D2-E2</f>
        <v>0</v>
      </c>
      <c r="G2" s="7" t="s">
        <v>9</v>
      </c>
    </row>
    <row r="3" spans="1:7" x14ac:dyDescent="0.25">
      <c r="A3" s="10" t="s">
        <v>31</v>
      </c>
      <c r="B3" s="10" t="s">
        <v>32</v>
      </c>
      <c r="C3" s="10" t="s">
        <v>30</v>
      </c>
      <c r="D3" s="11">
        <v>22180.5</v>
      </c>
      <c r="E3" s="11">
        <v>22180.5</v>
      </c>
      <c r="F3" s="12">
        <f>D3-E3</f>
        <v>0</v>
      </c>
      <c r="G3" s="10" t="s">
        <v>9</v>
      </c>
    </row>
    <row r="4" spans="1:7" x14ac:dyDescent="0.25">
      <c r="A4" s="7" t="s">
        <v>33</v>
      </c>
      <c r="B4" s="7" t="s">
        <v>34</v>
      </c>
      <c r="C4" s="7" t="s">
        <v>35</v>
      </c>
      <c r="D4" s="8">
        <v>9860</v>
      </c>
      <c r="E4" s="8">
        <v>9860</v>
      </c>
      <c r="F4" s="9">
        <f>D4-E4</f>
        <v>0</v>
      </c>
      <c r="G4" s="7" t="s">
        <v>9</v>
      </c>
    </row>
    <row r="5" spans="1:7" x14ac:dyDescent="0.25">
      <c r="A5" s="10" t="s">
        <v>36</v>
      </c>
      <c r="B5" s="10" t="s">
        <v>37</v>
      </c>
      <c r="C5" s="10" t="s">
        <v>30</v>
      </c>
      <c r="D5" s="11">
        <v>15320</v>
      </c>
      <c r="E5" s="11">
        <v>15320</v>
      </c>
      <c r="F5" s="12">
        <f>D5-E5</f>
        <v>0</v>
      </c>
      <c r="G5" s="10" t="s">
        <v>9</v>
      </c>
    </row>
    <row r="6" spans="1:7" x14ac:dyDescent="0.25">
      <c r="A6" s="7" t="s">
        <v>38</v>
      </c>
      <c r="B6" s="7" t="s">
        <v>39</v>
      </c>
      <c r="C6" s="7" t="s">
        <v>35</v>
      </c>
      <c r="D6" s="8">
        <v>7415.6</v>
      </c>
      <c r="E6" s="8">
        <v>7415.6</v>
      </c>
      <c r="F6" s="9">
        <f>D6-E6</f>
        <v>0</v>
      </c>
      <c r="G6" s="7" t="s">
        <v>9</v>
      </c>
    </row>
    <row r="7" spans="1:7" x14ac:dyDescent="0.25">
      <c r="A7" s="10" t="s">
        <v>40</v>
      </c>
      <c r="B7" s="10" t="s">
        <v>16</v>
      </c>
      <c r="C7" s="10" t="s">
        <v>30</v>
      </c>
      <c r="D7" s="11">
        <v>26730</v>
      </c>
      <c r="E7" s="11">
        <v>26645.4</v>
      </c>
      <c r="F7" s="12">
        <f>D7-E7</f>
        <v>84.6</v>
      </c>
      <c r="G7" s="10" t="s">
        <v>17</v>
      </c>
    </row>
    <row r="8" spans="1:7" x14ac:dyDescent="0.25">
      <c r="A8" s="7" t="s">
        <v>41</v>
      </c>
      <c r="B8" s="7" t="s">
        <v>42</v>
      </c>
      <c r="C8" s="7" t="s">
        <v>43</v>
      </c>
      <c r="D8" s="8">
        <v>48000</v>
      </c>
      <c r="E8" s="8">
        <v>48000</v>
      </c>
      <c r="F8" s="9">
        <f>D8-E8</f>
        <v>0</v>
      </c>
      <c r="G8" s="7" t="s">
        <v>9</v>
      </c>
    </row>
    <row r="9" spans="1:7" x14ac:dyDescent="0.25">
      <c r="A9" s="10" t="s">
        <v>44</v>
      </c>
      <c r="B9" s="10" t="s">
        <v>45</v>
      </c>
      <c r="C9" s="10" t="s">
        <v>30</v>
      </c>
      <c r="D9" s="11">
        <v>13980</v>
      </c>
      <c r="E9" s="11">
        <v>13980</v>
      </c>
      <c r="F9" s="12">
        <f>D9-E9</f>
        <v>0</v>
      </c>
      <c r="G9" s="10" t="s">
        <v>9</v>
      </c>
    </row>
    <row r="10" spans="1:7" x14ac:dyDescent="0.25">
      <c r="A10" s="7" t="s">
        <v>46</v>
      </c>
      <c r="B10" s="7" t="s">
        <v>47</v>
      </c>
      <c r="C10" s="7" t="s">
        <v>35</v>
      </c>
      <c r="D10" s="8">
        <v>11240</v>
      </c>
      <c r="E10" s="8">
        <v>11240</v>
      </c>
      <c r="F10" s="9">
        <f>D10-E10</f>
        <v>0</v>
      </c>
      <c r="G10" s="7" t="s">
        <v>9</v>
      </c>
    </row>
    <row r="11" spans="1:7" x14ac:dyDescent="0.25">
      <c r="A11" s="10" t="s">
        <v>48</v>
      </c>
      <c r="B11" s="10" t="s">
        <v>49</v>
      </c>
      <c r="C11" s="10" t="s">
        <v>30</v>
      </c>
      <c r="D11" s="11">
        <v>19875</v>
      </c>
      <c r="E11" s="11">
        <v>19875</v>
      </c>
      <c r="F11" s="12">
        <f>D11-E11</f>
        <v>0</v>
      </c>
      <c r="G11" s="10" t="s">
        <v>9</v>
      </c>
    </row>
    <row r="12" spans="1:7" x14ac:dyDescent="0.25">
      <c r="A12" s="7" t="s">
        <v>50</v>
      </c>
      <c r="B12" s="7" t="s">
        <v>51</v>
      </c>
      <c r="C12" s="7" t="s">
        <v>43</v>
      </c>
      <c r="D12" s="8">
        <v>32600</v>
      </c>
      <c r="E12" s="8">
        <v>32600</v>
      </c>
      <c r="F12" s="9">
        <f>D12-E12</f>
        <v>0</v>
      </c>
      <c r="G12" s="7" t="s">
        <v>9</v>
      </c>
    </row>
    <row r="13" spans="1:7" x14ac:dyDescent="0.25">
      <c r="A13" s="10" t="s">
        <v>52</v>
      </c>
      <c r="B13" s="10" t="s">
        <v>53</v>
      </c>
      <c r="C13" s="10" t="s">
        <v>35</v>
      </c>
      <c r="D13" s="11">
        <v>8730.4</v>
      </c>
      <c r="E13" s="11">
        <v>8730.4</v>
      </c>
      <c r="F13" s="12">
        <f>D13-E13</f>
        <v>0</v>
      </c>
      <c r="G13" s="10" t="s">
        <v>9</v>
      </c>
    </row>
    <row r="14" spans="1:7" x14ac:dyDescent="0.25">
      <c r="A14" s="7" t="s">
        <v>54</v>
      </c>
      <c r="B14" s="7" t="s">
        <v>55</v>
      </c>
      <c r="C14" s="7" t="s">
        <v>30</v>
      </c>
      <c r="D14" s="8">
        <v>21460</v>
      </c>
      <c r="E14" s="8">
        <v>21460</v>
      </c>
      <c r="F14" s="9">
        <f>D14-E14</f>
        <v>0</v>
      </c>
      <c r="G14" s="7" t="s">
        <v>9</v>
      </c>
    </row>
    <row r="15" spans="1:7" x14ac:dyDescent="0.25">
      <c r="A15" s="10" t="s">
        <v>56</v>
      </c>
      <c r="B15" s="10" t="s">
        <v>57</v>
      </c>
      <c r="C15" s="10" t="s">
        <v>58</v>
      </c>
      <c r="D15" s="11">
        <v>-4250</v>
      </c>
      <c r="E15" s="11">
        <v>-4250</v>
      </c>
      <c r="F15" s="12">
        <f>D15-E15</f>
        <v>0</v>
      </c>
      <c r="G15" s="10" t="s">
        <v>9</v>
      </c>
    </row>
    <row r="16" spans="1:7" x14ac:dyDescent="0.25">
      <c r="A16" s="7" t="s">
        <v>59</v>
      </c>
      <c r="B16" s="7" t="s">
        <v>60</v>
      </c>
      <c r="C16" s="7" t="s">
        <v>30</v>
      </c>
      <c r="D16" s="8">
        <v>17330</v>
      </c>
      <c r="E16" s="8">
        <v>17330</v>
      </c>
      <c r="F16" s="9">
        <f>D16-E16</f>
        <v>0</v>
      </c>
      <c r="G16" s="7" t="s">
        <v>9</v>
      </c>
    </row>
    <row r="17" spans="1:7" x14ac:dyDescent="0.25">
      <c r="A17" s="10" t="s">
        <v>61</v>
      </c>
      <c r="B17" s="10" t="s">
        <v>18</v>
      </c>
      <c r="C17" s="10" t="s">
        <v>35</v>
      </c>
      <c r="D17" s="11">
        <v>12980</v>
      </c>
      <c r="E17" s="11">
        <v>0</v>
      </c>
      <c r="F17" s="12">
        <f>D17-E17</f>
        <v>12980</v>
      </c>
      <c r="G17" s="10" t="s">
        <v>19</v>
      </c>
    </row>
    <row r="18" spans="1:7" x14ac:dyDescent="0.25">
      <c r="A18" s="7" t="s">
        <v>62</v>
      </c>
      <c r="B18" s="7" t="s">
        <v>63</v>
      </c>
      <c r="C18" s="7" t="s">
        <v>30</v>
      </c>
      <c r="D18" s="8">
        <v>24110</v>
      </c>
      <c r="E18" s="8">
        <v>24110</v>
      </c>
      <c r="F18" s="9">
        <f>D18-E18</f>
        <v>0</v>
      </c>
      <c r="G18" s="7" t="s">
        <v>9</v>
      </c>
    </row>
    <row r="19" spans="1:7" x14ac:dyDescent="0.25">
      <c r="A19" s="10" t="s">
        <v>64</v>
      </c>
      <c r="B19" s="10" t="s">
        <v>65</v>
      </c>
      <c r="C19" s="10" t="s">
        <v>43</v>
      </c>
      <c r="D19" s="11">
        <v>56400</v>
      </c>
      <c r="E19" s="11">
        <v>56400</v>
      </c>
      <c r="F19" s="12">
        <f>D19-E19</f>
        <v>0</v>
      </c>
      <c r="G19" s="10" t="s">
        <v>9</v>
      </c>
    </row>
    <row r="20" spans="1:7" x14ac:dyDescent="0.25">
      <c r="A20" s="7" t="s">
        <v>66</v>
      </c>
      <c r="B20" s="7" t="s">
        <v>67</v>
      </c>
      <c r="C20" s="7" t="s">
        <v>30</v>
      </c>
      <c r="D20" s="8">
        <v>16720</v>
      </c>
      <c r="E20" s="8">
        <v>16720</v>
      </c>
      <c r="F20" s="9">
        <f>D20-E20</f>
        <v>0</v>
      </c>
      <c r="G20" s="7" t="s">
        <v>9</v>
      </c>
    </row>
    <row r="21" spans="1:7" x14ac:dyDescent="0.25">
      <c r="A21" s="10" t="s">
        <v>68</v>
      </c>
      <c r="B21" s="10" t="s">
        <v>69</v>
      </c>
      <c r="C21" s="10" t="s">
        <v>35</v>
      </c>
      <c r="D21" s="11">
        <v>10450</v>
      </c>
      <c r="E21" s="11">
        <v>10450</v>
      </c>
      <c r="F21" s="12">
        <f>D21-E21</f>
        <v>0</v>
      </c>
      <c r="G21" s="10" t="s">
        <v>9</v>
      </c>
    </row>
    <row r="22" spans="1:7" x14ac:dyDescent="0.25">
      <c r="A22" s="7" t="s">
        <v>70</v>
      </c>
      <c r="B22" s="7" t="s">
        <v>71</v>
      </c>
      <c r="C22" s="7" t="s">
        <v>30</v>
      </c>
      <c r="D22" s="8">
        <v>20980</v>
      </c>
      <c r="E22" s="8">
        <v>20980</v>
      </c>
      <c r="F22" s="9">
        <f>D22-E22</f>
        <v>0</v>
      </c>
      <c r="G22" s="7" t="s">
        <v>9</v>
      </c>
    </row>
    <row r="23" spans="1:7" x14ac:dyDescent="0.25">
      <c r="A23" s="10" t="s">
        <v>72</v>
      </c>
      <c r="B23" s="10" t="s">
        <v>73</v>
      </c>
      <c r="C23" s="10" t="s">
        <v>43</v>
      </c>
      <c r="D23" s="11">
        <v>41200</v>
      </c>
      <c r="E23" s="11">
        <v>41200</v>
      </c>
      <c r="F23" s="12">
        <f>D23-E23</f>
        <v>0</v>
      </c>
      <c r="G23" s="10" t="s">
        <v>9</v>
      </c>
    </row>
    <row r="24" spans="1:7" x14ac:dyDescent="0.25">
      <c r="A24" s="7" t="s">
        <v>72</v>
      </c>
      <c r="B24" s="7" t="s">
        <v>74</v>
      </c>
      <c r="C24" s="7" t="s">
        <v>35</v>
      </c>
      <c r="D24" s="8">
        <v>9640</v>
      </c>
      <c r="E24" s="8">
        <v>9640</v>
      </c>
      <c r="F24" s="9">
        <f>D24-E24</f>
        <v>0</v>
      </c>
      <c r="G24" s="7" t="s">
        <v>9</v>
      </c>
    </row>
    <row r="25" spans="1:7" x14ac:dyDescent="0.25">
      <c r="A25" s="10" t="s">
        <v>72</v>
      </c>
      <c r="B25" s="10" t="s">
        <v>20</v>
      </c>
      <c r="C25" s="10" t="s">
        <v>30</v>
      </c>
      <c r="D25" s="11">
        <v>23150</v>
      </c>
      <c r="E25" s="11">
        <v>23153</v>
      </c>
      <c r="F25" s="12">
        <f>D25-E25</f>
        <v>-3</v>
      </c>
      <c r="G25" s="10" t="s">
        <v>21</v>
      </c>
    </row>
    <row r="26" spans="1:7" x14ac:dyDescent="0.25">
      <c r="A26" s="7" t="s">
        <v>9</v>
      </c>
      <c r="B26" s="7" t="s">
        <v>75</v>
      </c>
      <c r="C26" s="7" t="s">
        <v>9</v>
      </c>
      <c r="D26" s="8">
        <f>SUM(D2:D25)</f>
        <v>484741.5</v>
      </c>
      <c r="E26" s="8">
        <f>SUM(E2:E25)</f>
        <v>471679.9</v>
      </c>
      <c r="F26" s="9">
        <f>SUM(F2:F25)</f>
        <v>13061.6</v>
      </c>
      <c r="G26" s="7" t="s">
        <v>9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2" customWidth="1"/>
    <col min="2" max="2" width="78" customWidth="1"/>
  </cols>
  <sheetData>
    <row r="1" ht="24" customHeight="1" spans="1:2" x14ac:dyDescent="0.25">
      <c r="A1" s="4" t="s">
        <v>76</v>
      </c>
      <c r="B1" s="4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10" t="s">
        <v>80</v>
      </c>
      <c r="B3" s="10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10" t="s">
        <v>84</v>
      </c>
      <c r="B5" s="10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10" t="s">
        <v>88</v>
      </c>
      <c r="B7" s="10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10" t="s">
        <v>92</v>
      </c>
      <c r="B9" s="10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10" t="s">
        <v>96</v>
      </c>
      <c r="B11" s="10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10" t="s">
        <v>100</v>
      </c>
      <c r="B13" s="10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10" t="s">
        <v>104</v>
      </c>
      <c r="B15" s="10" t="s">
        <v>105</v>
      </c>
    </row>
    <row r="16" spans="1:2" x14ac:dyDescent="0.25">
      <c r="A16" s="7" t="s">
        <v>106</v>
      </c>
      <c r="B16" s="7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结论页</vt:lpstr>
      <vt:lpstr>逐笔明细</vt:lpstr>
      <vt:lpstr>口径说明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OceanLeo</dc:creator>
  <dc:title>双源对账模板 · 平台流水 ↔ 银行入账（2026 年 6 月）</dc:title>
  <dc:subject>一张可以直接套用的对账工作簿:结论页先给平不平,明细页两源并置逐笔相减,口径页写清为什么可以不平。公式与勾稽自校验是这件素材的本体,里面填的 24 笔是演示用量,换成自己的数据即可。</dc:subject>
  <dc:description/>
  <cp:keywords/>
  <cp:category/>
  <cp:lastModifiedBy>OceanLeo</cp:lastModifiedBy>
  <dcterms:created xsi:type="dcterms:W3CDTF">2026-07-29T00:00:00Z</dcterms:created>
  <dcterms:modified xsi:type="dcterms:W3CDTF">2026-07-29T00:00:00Z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ceanLeoCredits">
    <vt:lpwstr>OceanLeo (OCEANLEO-AIGEN)</vt:lpwstr>
  </property>
  <property fmtid="{D5CDD505-2E9C-101B-9397-08002B2CF9AE}" pid="3" name="OceanLeoOrderId">
    <vt:lpwstr>null</vt:lpwstr>
  </property>
  <property fmtid="{D5CDD505-2E9C-101B-9397-08002B2CF9AE}" pid="4" name="OceanLeoAssembler">
    <vt:lpwstr>ooxml</vt:lpwstr>
  </property>
</Properties>
</file>